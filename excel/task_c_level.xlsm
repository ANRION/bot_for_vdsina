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Work\OneDrive - АО КБ МодульБанк\Work\BAT\Bot\excel\"/>
    </mc:Choice>
  </mc:AlternateContent>
  <xr:revisionPtr revIDLastSave="353" documentId="8_{1195E014-3B6C-4B43-937E-83435B3C8561}" xr6:coauthVersionLast="41" xr6:coauthVersionMax="45" xr10:uidLastSave="{D319A029-3F11-4855-B6FA-832A52B37C2A}"/>
  <bookViews>
    <workbookView xWindow="1884" yWindow="1884" windowWidth="20028" windowHeight="8964" tabRatio="784" firstSheet="2" activeTab="11" xr2:uid="{757649F2-E590-4DEB-97DF-6C953C82DC99}"/>
  </bookViews>
  <sheets>
    <sheet name="Банк" sheetId="1" r:id="rId1"/>
    <sheet name="Гарантии" sheetId="15" r:id="rId2"/>
    <sheet name="Кредиты" sheetId="20" r:id="rId3"/>
    <sheet name="Кассы" sheetId="16" r:id="rId4"/>
    <sheet name="Продажи ИМ" sheetId="17" r:id="rId5"/>
    <sheet name="Продажи ТМ" sheetId="18" r:id="rId6"/>
    <sheet name="Забота" sheetId="6" r:id="rId7"/>
    <sheet name="Общебанк" sheetId="14" r:id="rId8"/>
    <sheet name="Системы" sheetId="9" r:id="rId9"/>
    <sheet name="|" sheetId="19" r:id="rId10"/>
    <sheet name="Метрики" sheetId="10" r:id="rId11"/>
    <sheet name="t_metrics" sheetId="12" r:id="rId12"/>
    <sheet name="t_task" sheetId="21" r:id="rId13"/>
  </sheets>
  <functionGroups builtInGroupCount="19"/>
  <definedNames>
    <definedName name="_xlnm._FilterDatabase" localSheetId="11" hidden="1">t_metrics!$A$4:$AG$20</definedName>
    <definedName name="_xlnm._FilterDatabase" localSheetId="8" hidden="1">Системы!$A$7:$Q$17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6" i="21" l="1"/>
  <c r="K56" i="21"/>
  <c r="J55" i="21"/>
  <c r="K55" i="21"/>
  <c r="J53" i="21"/>
  <c r="K53" i="21"/>
  <c r="J54" i="21"/>
  <c r="K54" i="21"/>
  <c r="J52" i="21"/>
  <c r="K52" i="21"/>
  <c r="J25" i="21"/>
  <c r="K25" i="21"/>
  <c r="J26" i="21"/>
  <c r="K26" i="21"/>
  <c r="J27" i="21"/>
  <c r="K27" i="21"/>
  <c r="J28" i="21"/>
  <c r="K28" i="21"/>
  <c r="J29" i="21"/>
  <c r="K29" i="21"/>
  <c r="J30" i="21"/>
  <c r="K30" i="21"/>
  <c r="J31" i="21"/>
  <c r="K31" i="21"/>
  <c r="J32" i="21"/>
  <c r="K32" i="21"/>
  <c r="J33" i="21"/>
  <c r="K33" i="21"/>
  <c r="J34" i="21"/>
  <c r="K34" i="21"/>
  <c r="J35" i="21"/>
  <c r="K35" i="21"/>
  <c r="J36" i="21"/>
  <c r="K36" i="21"/>
  <c r="J37" i="21"/>
  <c r="K37" i="21"/>
  <c r="J38" i="21"/>
  <c r="K38" i="21"/>
  <c r="J39" i="21"/>
  <c r="K39" i="21"/>
  <c r="J40" i="21"/>
  <c r="K40" i="21"/>
  <c r="J41" i="21"/>
  <c r="K41" i="21"/>
  <c r="J42" i="21"/>
  <c r="K42" i="21"/>
  <c r="J43" i="21"/>
  <c r="K43" i="21"/>
  <c r="J44" i="21"/>
  <c r="K44" i="21"/>
  <c r="J45" i="21"/>
  <c r="K45" i="21"/>
  <c r="J46" i="21"/>
  <c r="K46" i="21"/>
  <c r="J47" i="21"/>
  <c r="K47" i="21"/>
  <c r="J48" i="21"/>
  <c r="K48" i="21"/>
  <c r="J49" i="21"/>
  <c r="K49" i="21"/>
  <c r="J50" i="21"/>
  <c r="K50" i="21"/>
  <c r="J51" i="21"/>
  <c r="K51" i="21"/>
  <c r="J24" i="21"/>
  <c r="K24" i="21"/>
  <c r="J18" i="21"/>
  <c r="K18" i="21"/>
  <c r="J19" i="21"/>
  <c r="K19" i="21"/>
  <c r="J20" i="21"/>
  <c r="K20" i="21"/>
  <c r="J21" i="21"/>
  <c r="K21" i="21"/>
  <c r="J22" i="21"/>
  <c r="K22" i="21"/>
  <c r="J23" i="21"/>
  <c r="K23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2" i="2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2" i="21"/>
  <c r="H1" i="20" l="1"/>
  <c r="K1" i="20" s="1"/>
  <c r="N1" i="20" s="1"/>
  <c r="P6" i="18" l="1"/>
  <c r="P5" i="18"/>
  <c r="P4" i="18"/>
  <c r="P3" i="18"/>
  <c r="M6" i="18"/>
  <c r="M5" i="18"/>
  <c r="M4" i="18"/>
  <c r="M3" i="18"/>
  <c r="J6" i="18"/>
  <c r="J5" i="18"/>
  <c r="J4" i="18"/>
  <c r="J3" i="18"/>
  <c r="G6" i="18"/>
  <c r="G5" i="18"/>
  <c r="G4" i="18"/>
  <c r="G3" i="18"/>
  <c r="H1" i="18"/>
  <c r="K1" i="18" s="1"/>
  <c r="N1" i="18" s="1"/>
  <c r="J3" i="17"/>
  <c r="J4" i="17"/>
  <c r="P7" i="17"/>
  <c r="P6" i="17"/>
  <c r="P5" i="17"/>
  <c r="P4" i="17"/>
  <c r="P3" i="17"/>
  <c r="M7" i="17"/>
  <c r="M6" i="17"/>
  <c r="M5" i="17"/>
  <c r="M4" i="17"/>
  <c r="M3" i="17"/>
  <c r="J7" i="17"/>
  <c r="J6" i="17"/>
  <c r="J5" i="17"/>
  <c r="G4" i="17"/>
  <c r="G5" i="17"/>
  <c r="G6" i="17"/>
  <c r="G7" i="17"/>
  <c r="G3" i="17"/>
  <c r="H1" i="17"/>
  <c r="K1" i="17" s="1"/>
  <c r="N1" i="17" s="1"/>
  <c r="P5" i="16"/>
  <c r="P4" i="16"/>
  <c r="P3" i="16"/>
  <c r="M5" i="16"/>
  <c r="M4" i="16"/>
  <c r="M3" i="16"/>
  <c r="J5" i="16"/>
  <c r="J4" i="16"/>
  <c r="J3" i="16"/>
  <c r="G5" i="16"/>
  <c r="G4" i="16"/>
  <c r="G3" i="16"/>
  <c r="H1" i="16"/>
  <c r="K1" i="16" s="1"/>
  <c r="N1" i="16" s="1"/>
  <c r="H1" i="15"/>
  <c r="K1" i="15" s="1"/>
  <c r="N1" i="15" s="1"/>
  <c r="P4" i="6"/>
  <c r="P3" i="6"/>
  <c r="M4" i="6"/>
  <c r="M3" i="6"/>
  <c r="J4" i="6"/>
  <c r="J3" i="6"/>
  <c r="G4" i="6"/>
  <c r="G3" i="6"/>
  <c r="H1" i="6"/>
  <c r="K1" i="6" s="1"/>
  <c r="N1" i="6" s="1"/>
  <c r="P14" i="1"/>
  <c r="P12" i="1"/>
  <c r="N10" i="1"/>
  <c r="P10" i="1" s="1"/>
  <c r="N9" i="1"/>
  <c r="P9" i="1" s="1"/>
  <c r="P8" i="1"/>
  <c r="P7" i="1"/>
  <c r="P6" i="1"/>
  <c r="P5" i="1"/>
  <c r="P4" i="1"/>
  <c r="P3" i="1"/>
  <c r="K1" i="9"/>
  <c r="H1" i="9"/>
  <c r="H1" i="1"/>
  <c r="K1" i="1" s="1"/>
  <c r="N1" i="1" s="1"/>
  <c r="W19" i="12"/>
  <c r="R19" i="12"/>
  <c r="Q19" i="12"/>
  <c r="P19" i="12"/>
  <c r="N19" i="12"/>
  <c r="J19" i="12"/>
  <c r="I19" i="12"/>
  <c r="W17" i="12"/>
  <c r="R17" i="12"/>
  <c r="Q17" i="12"/>
  <c r="P17" i="12"/>
  <c r="N17" i="12"/>
  <c r="J17" i="12"/>
  <c r="I17" i="12"/>
  <c r="W15" i="12"/>
  <c r="R15" i="12"/>
  <c r="Q15" i="12"/>
  <c r="P15" i="12"/>
  <c r="N15" i="12"/>
  <c r="J15" i="12"/>
  <c r="I15" i="12"/>
  <c r="W13" i="12"/>
  <c r="R13" i="12"/>
  <c r="Q13" i="12"/>
  <c r="P13" i="12"/>
  <c r="N13" i="12"/>
  <c r="J13" i="12"/>
  <c r="I13" i="12"/>
  <c r="W11" i="12"/>
  <c r="R11" i="12"/>
  <c r="Q11" i="12"/>
  <c r="P11" i="12"/>
  <c r="N11" i="12"/>
  <c r="J11" i="12"/>
  <c r="I11" i="12"/>
  <c r="W9" i="12"/>
  <c r="R9" i="12"/>
  <c r="Q9" i="12"/>
  <c r="P9" i="12"/>
  <c r="N9" i="12"/>
  <c r="J9" i="12"/>
  <c r="I9" i="12"/>
  <c r="W7" i="12"/>
  <c r="R7" i="12"/>
  <c r="Q7" i="12"/>
  <c r="P7" i="12"/>
  <c r="N7" i="12"/>
  <c r="J7" i="12"/>
  <c r="I7" i="12"/>
  <c r="W5" i="12"/>
  <c r="R5" i="12"/>
  <c r="Q5" i="12"/>
  <c r="P5" i="12"/>
  <c r="N5" i="12"/>
  <c r="J5" i="12"/>
  <c r="I5" i="12"/>
  <c r="M3" i="9" l="1"/>
  <c r="J3" i="9"/>
  <c r="G3" i="9"/>
  <c r="P3" i="9"/>
  <c r="Q3" i="9" s="1"/>
  <c r="M14" i="1"/>
  <c r="M12" i="1"/>
  <c r="K10" i="1"/>
  <c r="M10" i="1" s="1"/>
  <c r="K9" i="1"/>
  <c r="M9" i="1" s="1"/>
  <c r="M8" i="1"/>
  <c r="M7" i="1"/>
  <c r="M6" i="1"/>
  <c r="M5" i="1"/>
  <c r="M4" i="1"/>
  <c r="M3" i="1"/>
  <c r="J14" i="1"/>
  <c r="J12" i="1"/>
  <c r="H10" i="1"/>
  <c r="J10" i="1" s="1"/>
  <c r="H9" i="1"/>
  <c r="J9" i="1" s="1"/>
  <c r="J8" i="1"/>
  <c r="J7" i="1"/>
  <c r="J6" i="1"/>
  <c r="J5" i="1"/>
  <c r="J4" i="1"/>
  <c r="J3" i="1"/>
  <c r="G14" i="1"/>
  <c r="G12" i="1"/>
  <c r="E10" i="1"/>
  <c r="G10" i="1" s="1"/>
  <c r="E9" i="1"/>
  <c r="G9" i="1" s="1"/>
  <c r="G8" i="1"/>
  <c r="G7" i="1"/>
  <c r="G6" i="1"/>
  <c r="G5" i="1"/>
  <c r="G4" i="1"/>
  <c r="G3" i="1"/>
  <c r="AJ34" i="10"/>
  <c r="AK34" i="10" s="1"/>
  <c r="AG34" i="10"/>
  <c r="AD34" i="10"/>
  <c r="AA34" i="10"/>
  <c r="X34" i="10"/>
  <c r="S34" i="10"/>
  <c r="T34" i="10" s="1"/>
  <c r="P34" i="10"/>
  <c r="M34" i="10"/>
  <c r="J34" i="10"/>
  <c r="G34" i="10"/>
  <c r="AJ32" i="10"/>
  <c r="AK32" i="10" s="1"/>
  <c r="AG32" i="10"/>
  <c r="AD32" i="10"/>
  <c r="AA32" i="10"/>
  <c r="X32" i="10"/>
  <c r="S32" i="10"/>
  <c r="T32" i="10" s="1"/>
  <c r="P32" i="10"/>
  <c r="M32" i="10"/>
  <c r="J32" i="10"/>
  <c r="G32" i="10"/>
  <c r="J31" i="10"/>
  <c r="G31" i="10"/>
  <c r="AJ30" i="10"/>
  <c r="AK30" i="10" s="1"/>
  <c r="AI30" i="10"/>
  <c r="AG30" i="10"/>
  <c r="AD30" i="10"/>
  <c r="AA30" i="10"/>
  <c r="X30" i="10"/>
  <c r="S30" i="10"/>
  <c r="T30" i="10" s="1"/>
  <c r="R30" i="10"/>
  <c r="P30" i="10"/>
  <c r="M30" i="10"/>
  <c r="AJ29" i="10"/>
  <c r="AK29" i="10" s="1"/>
  <c r="AG29" i="10"/>
  <c r="AD29" i="10"/>
  <c r="AA29" i="10"/>
  <c r="X29" i="10"/>
  <c r="S29" i="10"/>
  <c r="T29" i="10" s="1"/>
  <c r="P29" i="10"/>
  <c r="M29" i="10"/>
  <c r="J29" i="10"/>
  <c r="G29" i="10"/>
  <c r="AJ27" i="10"/>
  <c r="AK27" i="10" s="1"/>
  <c r="AG27" i="10"/>
  <c r="AD27" i="10"/>
  <c r="AA27" i="10"/>
  <c r="X27" i="10"/>
  <c r="S27" i="10"/>
  <c r="T27" i="10" s="1"/>
  <c r="P27" i="10"/>
  <c r="M27" i="10"/>
  <c r="J27" i="10"/>
  <c r="G27" i="10"/>
  <c r="AJ26" i="10"/>
  <c r="AK26" i="10" s="1"/>
  <c r="AG26" i="10"/>
  <c r="AD26" i="10"/>
  <c r="AA26" i="10"/>
  <c r="X26" i="10"/>
  <c r="S26" i="10"/>
  <c r="T26" i="10" s="1"/>
  <c r="P26" i="10"/>
  <c r="M26" i="10"/>
  <c r="J26" i="10"/>
  <c r="G26" i="10"/>
  <c r="AJ24" i="10"/>
  <c r="AG24" i="10"/>
  <c r="AE24" i="10"/>
  <c r="AD24" i="10"/>
  <c r="AB24" i="10"/>
  <c r="Y24" i="10"/>
  <c r="AA24" i="10" s="1"/>
  <c r="X24" i="10"/>
  <c r="V24" i="10"/>
  <c r="AI24" i="10" s="1"/>
  <c r="S24" i="10"/>
  <c r="N24" i="10"/>
  <c r="P24" i="10" s="1"/>
  <c r="K24" i="10"/>
  <c r="M24" i="10" s="1"/>
  <c r="H24" i="10"/>
  <c r="J24" i="10" s="1"/>
  <c r="E24" i="10"/>
  <c r="G24" i="10" s="1"/>
  <c r="AJ23" i="10"/>
  <c r="AK23" i="10" s="1"/>
  <c r="AI23" i="10"/>
  <c r="AG23" i="10"/>
  <c r="AD23" i="10"/>
  <c r="AA23" i="10"/>
  <c r="X23" i="10"/>
  <c r="T23" i="10"/>
  <c r="S23" i="10"/>
  <c r="R23" i="10"/>
  <c r="P23" i="10"/>
  <c r="M23" i="10"/>
  <c r="J23" i="10"/>
  <c r="G23" i="10"/>
  <c r="AJ22" i="10"/>
  <c r="AK22" i="10" s="1"/>
  <c r="AI22" i="10"/>
  <c r="AG22" i="10"/>
  <c r="AD22" i="10"/>
  <c r="AA22" i="10"/>
  <c r="X22" i="10"/>
  <c r="S22" i="10"/>
  <c r="R22" i="10"/>
  <c r="T22" i="10" s="1"/>
  <c r="P22" i="10"/>
  <c r="M22" i="10"/>
  <c r="J22" i="10"/>
  <c r="G22" i="10"/>
  <c r="AJ21" i="10"/>
  <c r="AK21" i="10" s="1"/>
  <c r="AG21" i="10"/>
  <c r="AD21" i="10"/>
  <c r="AA21" i="10"/>
  <c r="X21" i="10"/>
  <c r="S21" i="10"/>
  <c r="T21" i="10" s="1"/>
  <c r="P21" i="10"/>
  <c r="M21" i="10"/>
  <c r="J21" i="10"/>
  <c r="G21" i="10"/>
  <c r="AJ20" i="10"/>
  <c r="AK20" i="10" s="1"/>
  <c r="AI20" i="10"/>
  <c r="AG20" i="10"/>
  <c r="AD20" i="10"/>
  <c r="AA20" i="10"/>
  <c r="X20" i="10"/>
  <c r="T20" i="10"/>
  <c r="S20" i="10"/>
  <c r="R20" i="10"/>
  <c r="P20" i="10"/>
  <c r="M20" i="10"/>
  <c r="J20" i="10"/>
  <c r="G20" i="10"/>
  <c r="AJ19" i="10"/>
  <c r="AE19" i="10"/>
  <c r="AG19" i="10" s="1"/>
  <c r="AB19" i="10"/>
  <c r="AD19" i="10" s="1"/>
  <c r="Y19" i="10"/>
  <c r="AA19" i="10" s="1"/>
  <c r="X19" i="10"/>
  <c r="V19" i="10"/>
  <c r="AI19" i="10" s="1"/>
  <c r="S19" i="10"/>
  <c r="T19" i="10" s="1"/>
  <c r="R19" i="10"/>
  <c r="N19" i="10"/>
  <c r="P19" i="10" s="1"/>
  <c r="K19" i="10"/>
  <c r="M19" i="10" s="1"/>
  <c r="H19" i="10"/>
  <c r="J19" i="10" s="1"/>
  <c r="G19" i="10"/>
  <c r="E19" i="10"/>
  <c r="AJ18" i="10"/>
  <c r="AK18" i="10" s="1"/>
  <c r="AG18" i="10"/>
  <c r="AE18" i="10"/>
  <c r="AD18" i="10"/>
  <c r="AB18" i="10"/>
  <c r="Y18" i="10"/>
  <c r="AA18" i="10" s="1"/>
  <c r="X18" i="10"/>
  <c r="V18" i="10"/>
  <c r="AI18" i="10" s="1"/>
  <c r="S18" i="10"/>
  <c r="R18" i="10"/>
  <c r="T18" i="10" s="1"/>
  <c r="P18" i="10"/>
  <c r="N18" i="10"/>
  <c r="K18" i="10"/>
  <c r="M18" i="10" s="1"/>
  <c r="H18" i="10"/>
  <c r="J18" i="10" s="1"/>
  <c r="E18" i="10"/>
  <c r="G18" i="10" s="1"/>
  <c r="AJ17" i="10"/>
  <c r="AG17" i="10"/>
  <c r="AE17" i="10"/>
  <c r="AD17" i="10"/>
  <c r="AB17" i="10"/>
  <c r="AA17" i="10"/>
  <c r="Y17" i="10"/>
  <c r="V17" i="10"/>
  <c r="X17" i="10" s="1"/>
  <c r="S17" i="10"/>
  <c r="R17" i="10"/>
  <c r="T17" i="10" s="1"/>
  <c r="N17" i="10"/>
  <c r="P17" i="10" s="1"/>
  <c r="K17" i="10"/>
  <c r="M17" i="10" s="1"/>
  <c r="H17" i="10"/>
  <c r="J17" i="10" s="1"/>
  <c r="E17" i="10"/>
  <c r="G17" i="10" s="1"/>
  <c r="AJ16" i="10"/>
  <c r="AK16" i="10" s="1"/>
  <c r="AG16" i="10"/>
  <c r="AD16" i="10"/>
  <c r="AA16" i="10"/>
  <c r="X16" i="10"/>
  <c r="S16" i="10"/>
  <c r="T16" i="10" s="1"/>
  <c r="P16" i="10"/>
  <c r="M16" i="10"/>
  <c r="J16" i="10"/>
  <c r="G16" i="10"/>
  <c r="AJ15" i="10"/>
  <c r="AK15" i="10" s="1"/>
  <c r="AI15" i="10"/>
  <c r="AG15" i="10"/>
  <c r="AE15" i="10"/>
  <c r="AD15" i="10"/>
  <c r="AB15" i="10"/>
  <c r="Y15" i="10"/>
  <c r="AA15" i="10" s="1"/>
  <c r="X15" i="10"/>
  <c r="V15" i="10"/>
  <c r="T15" i="10"/>
  <c r="R15" i="10"/>
  <c r="P15" i="10"/>
  <c r="N15" i="10"/>
  <c r="K15" i="10"/>
  <c r="M15" i="10" s="1"/>
  <c r="J15" i="10"/>
  <c r="H15" i="10"/>
  <c r="G15" i="10"/>
  <c r="E15" i="10"/>
  <c r="AK14" i="10"/>
  <c r="AG14" i="10"/>
  <c r="AD14" i="10"/>
  <c r="AA14" i="10"/>
  <c r="X14" i="10"/>
  <c r="T14" i="10"/>
  <c r="AK12" i="10"/>
  <c r="AJ12" i="10"/>
  <c r="AG12" i="10"/>
  <c r="AD12" i="10"/>
  <c r="AA12" i="10"/>
  <c r="X12" i="10"/>
  <c r="T12" i="10"/>
  <c r="P12" i="10"/>
  <c r="M12" i="10"/>
  <c r="J12" i="10"/>
  <c r="G12" i="10"/>
  <c r="T11" i="10"/>
  <c r="AJ10" i="10"/>
  <c r="AK10" i="10" s="1"/>
  <c r="AI10" i="10"/>
  <c r="AE10" i="10"/>
  <c r="AD10" i="10"/>
  <c r="AB10" i="10"/>
  <c r="AA10" i="10"/>
  <c r="Y10" i="10"/>
  <c r="V10" i="10"/>
  <c r="X10" i="10" s="1"/>
  <c r="S10" i="10"/>
  <c r="R10" i="10"/>
  <c r="T10" i="10" s="1"/>
  <c r="N10" i="10"/>
  <c r="P10" i="10" s="1"/>
  <c r="K10" i="10"/>
  <c r="M10" i="10" s="1"/>
  <c r="H10" i="10"/>
  <c r="J10" i="10" s="1"/>
  <c r="E10" i="10"/>
  <c r="G10" i="10" s="1"/>
  <c r="AJ9" i="10"/>
  <c r="AK9" i="10" s="1"/>
  <c r="AI9" i="10"/>
  <c r="AE9" i="10"/>
  <c r="AB9" i="10"/>
  <c r="AD9" i="10" s="1"/>
  <c r="Y9" i="10"/>
  <c r="AA9" i="10" s="1"/>
  <c r="V9" i="10"/>
  <c r="X9" i="10" s="1"/>
  <c r="S9" i="10"/>
  <c r="T9" i="10" s="1"/>
  <c r="R9" i="10"/>
  <c r="P9" i="10"/>
  <c r="N9" i="10"/>
  <c r="M9" i="10"/>
  <c r="K9" i="10"/>
  <c r="J9" i="10"/>
  <c r="H9" i="10"/>
  <c r="E9" i="10"/>
  <c r="G9" i="10" s="1"/>
  <c r="AK8" i="10"/>
  <c r="AJ8" i="10"/>
  <c r="AG8" i="10"/>
  <c r="AD8" i="10"/>
  <c r="AA8" i="10"/>
  <c r="X8" i="10"/>
  <c r="S8" i="10"/>
  <c r="T8" i="10" s="1"/>
  <c r="P8" i="10"/>
  <c r="M8" i="10"/>
  <c r="J8" i="10"/>
  <c r="G8" i="10"/>
  <c r="AK7" i="10"/>
  <c r="AJ7" i="10"/>
  <c r="AG7" i="10"/>
  <c r="AD7" i="10"/>
  <c r="AA7" i="10"/>
  <c r="X7" i="10"/>
  <c r="T7" i="10"/>
  <c r="S7" i="10"/>
  <c r="P7" i="10"/>
  <c r="M7" i="10"/>
  <c r="J7" i="10"/>
  <c r="G7" i="10"/>
  <c r="AK6" i="10"/>
  <c r="AJ6" i="10"/>
  <c r="AG6" i="10"/>
  <c r="AD6" i="10"/>
  <c r="AA6" i="10"/>
  <c r="X6" i="10"/>
  <c r="S6" i="10"/>
  <c r="T6" i="10" s="1"/>
  <c r="P6" i="10"/>
  <c r="M6" i="10"/>
  <c r="J6" i="10"/>
  <c r="G6" i="10"/>
  <c r="AK5" i="10"/>
  <c r="AJ5" i="10"/>
  <c r="AG5" i="10"/>
  <c r="AD5" i="10"/>
  <c r="AA5" i="10"/>
  <c r="X5" i="10"/>
  <c r="T5" i="10"/>
  <c r="S5" i="10"/>
  <c r="P5" i="10"/>
  <c r="M5" i="10"/>
  <c r="J5" i="10"/>
  <c r="G5" i="10"/>
  <c r="AK4" i="10"/>
  <c r="AJ4" i="10"/>
  <c r="AG4" i="10"/>
  <c r="AD4" i="10"/>
  <c r="AA4" i="10"/>
  <c r="X4" i="10"/>
  <c r="T4" i="10"/>
  <c r="P4" i="10"/>
  <c r="M4" i="10"/>
  <c r="J4" i="10"/>
  <c r="G4" i="10"/>
  <c r="AJ3" i="10"/>
  <c r="AK3" i="10" s="1"/>
  <c r="AG3" i="10"/>
  <c r="AD3" i="10"/>
  <c r="AA3" i="10"/>
  <c r="X3" i="10"/>
  <c r="T3" i="10"/>
  <c r="P3" i="10"/>
  <c r="M3" i="10"/>
  <c r="J3" i="10"/>
  <c r="G3" i="10"/>
  <c r="AK24" i="10" l="1"/>
  <c r="AK19" i="10"/>
  <c r="R24" i="10"/>
  <c r="T24" i="10" s="1"/>
  <c r="AI17" i="10"/>
  <c r="AK1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tc={E4258073-3B80-40E0-8A07-9CECD3458295}</author>
  </authors>
  <commentList>
    <comment ref="D3" authorId="0" shapeId="0" xr:uid="{E4258073-3B80-40E0-8A07-9CECD3458295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Месяц         План   
Июль          367 500    
Август         389 500    
Сентябрь    408 000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tc={9837012C-EA51-43B7-933B-A49D6D378D34}</author>
  </authors>
  <commentList>
    <comment ref="D3" authorId="0" shapeId="0" xr:uid="{9837012C-EA51-43B7-933B-A49D6D378D34}">
      <text>
        <t xml:space="preserve"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Месяц         План   
Июль          367 500    
Август         389 500    
Сентябрь    408 000
</t>
      </text>
    </comment>
  </commentList>
</comments>
</file>

<file path=xl/sharedStrings.xml><?xml version="1.0" encoding="utf-8"?>
<sst xmlns="http://schemas.openxmlformats.org/spreadsheetml/2006/main" count="1410" uniqueCount="406">
  <si>
    <t>3Q</t>
  </si>
  <si>
    <t>Метрика</t>
  </si>
  <si>
    <t>Цель</t>
  </si>
  <si>
    <t>План</t>
  </si>
  <si>
    <t>Факт</t>
  </si>
  <si>
    <t>%</t>
  </si>
  <si>
    <t>Банк</t>
  </si>
  <si>
    <t>Липатов</t>
  </si>
  <si>
    <t>Выручка по расчетному бизнесу, тыс. р</t>
  </si>
  <si>
    <t>ARPAU, руб</t>
  </si>
  <si>
    <t>Конверсия 1 недели целевая заявка с счет (без отказа банка), %</t>
  </si>
  <si>
    <t>Ибрагимов</t>
  </si>
  <si>
    <t>SLA (25 мин) открытия счета, %</t>
  </si>
  <si>
    <t>SLA (15 мин) обработка паспортов, %</t>
  </si>
  <si>
    <t>SLA (40 мин) поток гарантий, %</t>
  </si>
  <si>
    <t>Амелькина</t>
  </si>
  <si>
    <t>SLA (сутки) рассмотрения документов, %</t>
  </si>
  <si>
    <t>SLA (3 часа) рассмотрения документов премиум кл., %</t>
  </si>
  <si>
    <t>Churn-rate из-за лимита и блокировок</t>
  </si>
  <si>
    <t>Захаров</t>
  </si>
  <si>
    <t>Доля оплаченый опций, %</t>
  </si>
  <si>
    <t>Доля клиентов с оплаченными подписками или белым бизнесом, %</t>
  </si>
  <si>
    <t xml:space="preserve"> </t>
  </si>
  <si>
    <t>Васильев</t>
  </si>
  <si>
    <t>CTI, %</t>
  </si>
  <si>
    <t>Проектные задачи</t>
  </si>
  <si>
    <t>Срок</t>
  </si>
  <si>
    <t>Ответственный</t>
  </si>
  <si>
    <t>Задачи</t>
  </si>
  <si>
    <t>Статус</t>
  </si>
  <si>
    <t>Комментарий</t>
  </si>
  <si>
    <t>Выполнение плана по артефактам 100%</t>
  </si>
  <si>
    <t>В работе</t>
  </si>
  <si>
    <t>Запустить тестовую реабилитацию по клиентам ББ​</t>
  </si>
  <si>
    <t>Пересмотр стратегии по расчету аванса + внедрение стратегии для расчета НДФЛ по отпускным и больничных</t>
  </si>
  <si>
    <t>Клиентов с открытыми отказами доводить до встречи. Реализовать отложенное открытие счета</t>
  </si>
  <si>
    <t>Реновация офисов КМ (10 офисов)</t>
  </si>
  <si>
    <t>Перевести подключение и обслуживание клиентов МодульКассы в операционный блок</t>
  </si>
  <si>
    <t>Устранение плана по артефактам связанные с Оперблоком</t>
  </si>
  <si>
    <t>Выполнение плана по производству отчетов для бизнес подразделений</t>
  </si>
  <si>
    <t>Закрытие регуляторных рисков (нормативы МСФО отчетность)</t>
  </si>
  <si>
    <t>Обеспечить достаточный капитал для выдачи гарантий в плановом объеме</t>
  </si>
  <si>
    <t>Текущие задачи</t>
  </si>
  <si>
    <t>Неделя</t>
  </si>
  <si>
    <t>Продолжаем работать с воронкой, в пятницу будет встреча.</t>
  </si>
  <si>
    <t>Проработаем изменение процесса оплаты тарифа у неактивных новых клиентов - чтобы при начале активности они всегда нам должны были оплатить не более 1 месяца.</t>
  </si>
  <si>
    <t>Готовим план разработки на сентябрь. Финальная версия будет в начале следующей недели, но на этой должны получить версию для согласования с разработкой.</t>
  </si>
  <si>
    <t>Подготовим письмо в ЦБ РФ по теме Open API c @obraztsovs</t>
  </si>
  <si>
    <t>Отладка робота Сибедж распознавать информацию из документов ФССП</t>
  </si>
  <si>
    <t>Приоритезация задач</t>
  </si>
  <si>
    <t>Согласовать ТЗ по подписанию документов в чате</t>
  </si>
  <si>
    <t>Готовим тесты для проверки Автопролонгации пакетов 6/12 мес.</t>
  </si>
  <si>
    <t>Пересмотрим погашение инкассо для упрощения клиентского опыта.</t>
  </si>
  <si>
    <t>Отправить вторую версию отчётности по мсфо согласно правкам аудиторов</t>
  </si>
  <si>
    <t>Согласовать основные метрики на 4 квартал</t>
  </si>
  <si>
    <t>Отчет по кредитам - доработки согласно замечаниям</t>
  </si>
  <si>
    <t>Кассы в разрезе устройств - верификация витрины для увеличения эффективности коллекшена в кассах</t>
  </si>
  <si>
    <t>Отчёт по подключаемым опциям в разрезе КМ, Продажи, БА, сам клиент</t>
  </si>
  <si>
    <t>Уходит в прод подключение опций на 6/12 месяцев продажами и КМами. Нужно досогласовать мотивацию продаванам и КМам. Продажи запускаем в пятницу или понедельник.</t>
  </si>
  <si>
    <t>Готово</t>
  </si>
  <si>
    <t>Продажи начали продавать, по КМам ждём изменений в заявление на присоединение к ДКО и запускаем.</t>
  </si>
  <si>
    <t>Распознавание ЗП платежа при загрузке платёжек из 1С. Теперь явно объясняем преимущества, почему клиенту выгодно конвертировать платежи в зарплатную ведомость.</t>
  </si>
  <si>
    <t>Дополнительно</t>
  </si>
  <si>
    <t>Теперь можно платить аванс при приостановках налоговой.</t>
  </si>
  <si>
    <t>Обучим робота Сибедж распознавать информацию из документов ФССП</t>
  </si>
  <si>
    <t>Внедрим робота от Кима по подготовке документов при выпуске доп. эцп, выпуске доп карты и смене гд.</t>
  </si>
  <si>
    <t>Оценим задачи и определим SLA для сопровождения.</t>
  </si>
  <si>
    <t>Замерим время решения задач и переоценим SLA для задач БЭК</t>
  </si>
  <si>
    <t>Согласуем дизайн пин-конвертов.</t>
  </si>
  <si>
    <t>Согласуем процедуру коллекшен  по теховеру и начнем работать с этим долгом. На текущий момент за все время непогашенных тех. оверов 245 шт на общую сумму 2 876 460.95, большинство из них с периода, когда не было онлайн-обмена с процессингом.</t>
  </si>
  <si>
    <t>Смогли сертифицировать новую логику активации карт в UCS за неделю вместо плановых двух месяцев, на этой неделе выпускаем тестовую карту.</t>
  </si>
  <si>
    <t>Подготовили новую схему кредитования сотрудников банка, подробнее расскажут Забота на трекшен.</t>
  </si>
  <si>
    <t>Успешно протестировали обмен с ФССП, ждем ОК от них для запуска</t>
  </si>
  <si>
    <t>Изменили стратегию открытия счета, тем кто выбирает оптимальный или безлимитый на 12 или навсегда не отказываем</t>
  </si>
  <si>
    <t>Сделали тз на изменения расчетов по ЗПпроекту. На этой неделе внедрим</t>
  </si>
  <si>
    <t>По снижению лимитов подсчитали на прошлой неделе, с учетом всех наших июльских изменений, на снижение попало  за июль-август на 36% меньше клиентов</t>
  </si>
  <si>
    <t>по ББ и тестовой реабилитации, тексты готовы, почта куда будут писать клиенты готова, ждем проект в жире и готовы запускаться</t>
  </si>
  <si>
    <t xml:space="preserve">Докрутим отчет с рейтингами  + обновим 5 пунктов в боте для км с их результатами продаж </t>
  </si>
  <si>
    <t xml:space="preserve">Утвердим цифры по мотивации продаж новых подписок и внесем изменения в положение+ в пятницу протестируес продажи на 1 городе, при хорошем тесте с понедельника стартуем продажи по всем городам. </t>
  </si>
  <si>
    <t>Раскатаем новые скрипты на регионы</t>
  </si>
  <si>
    <t>Отменяем мотивацию и продажи "обмена валюты" , "Розницы", "Доп. подписи"</t>
  </si>
  <si>
    <t>Редизайн офисов:
Разослать офиц запросы в остальные офисы</t>
  </si>
  <si>
    <t>Редизайн офисов:
Закупить мебель</t>
  </si>
  <si>
    <t>Редизайн офисов:
Получить кп от бригады и сформировать смету на материалы и работы</t>
  </si>
  <si>
    <t>Обучение в МСК группы новых КМ</t>
  </si>
  <si>
    <t>Продолжаем поиски и собеседования оставшихся вакансий</t>
  </si>
  <si>
    <t>Подготовка кредитного портфеля на 31.07 для работы с коллекторами</t>
  </si>
  <si>
    <t>Подготовить материалы для аудиторов по бизнес плану</t>
  </si>
  <si>
    <t>Отчет по кредитам</t>
  </si>
  <si>
    <t>Реакция в чатах - разделить на бизнес-линии</t>
  </si>
  <si>
    <t xml:space="preserve"> Отчет по эффективности КМ (доработка отчета)</t>
  </si>
  <si>
    <t>Внедрение статуса телефон подтвержден и SLA по звонкам продавцов</t>
  </si>
  <si>
    <t>Атрибуция ИМ - создание визуализации согласно данным от data science. Выверка данных.</t>
  </si>
  <si>
    <t>Кулигина</t>
  </si>
  <si>
    <t>Комиссионка по гарантиям, тыс.р</t>
  </si>
  <si>
    <t>Маржинальность по гарантиям, %</t>
  </si>
  <si>
    <t>Согласование формы БГ автоматом</t>
  </si>
  <si>
    <t>Релиз 30/08/19</t>
  </si>
  <si>
    <t>Единый АПИ для партнеров</t>
  </si>
  <si>
    <t>Размещение гарантий в реестре. Автоматизация размещения банковских гарантий на сайте www.zakupki.gov.ru</t>
  </si>
  <si>
    <t>Баранов</t>
  </si>
  <si>
    <t>Выручка МодульКасса, тыс. р</t>
  </si>
  <si>
    <t>Выручка от подписок и опций, тыс. р</t>
  </si>
  <si>
    <t>Продажа касс, шт</t>
  </si>
  <si>
    <t>Подготовить опции для топ сегментов для дальнейшего апсейла к тарифам</t>
  </si>
  <si>
    <t>Включаем Стандартный тариф на всю сеть</t>
  </si>
  <si>
    <t>Уведомили клиентов на 0 тарифах о включении платного тарифа с 19 августа. Для перехода большего количества, из 1800 клиентов, сделали льготный период на Стандартном, далее делаем цепочки рассылок повышающих ценность тарифа и с 19.09.2019 начинаем списывать</t>
  </si>
  <si>
    <t>Вводим дорогой- продающий тариф, урезаем по опциям начальный</t>
  </si>
  <si>
    <t>Подготавливаем тарифный маневр для действующей базы</t>
  </si>
  <si>
    <t>(увеличиваем ценность стандартного тарифа за счет повышения стоимости Расширенного в 3 раза с добавлением пары фич, снижаем ценность Начального тарифа, убираем поддержку 24х7) Доп доход 4млн в месяц от действующей базы без тарифа</t>
  </si>
  <si>
    <t xml:space="preserve"> Стратсессия разработки касс, формирование видения развития продукта на 3-4 кварталы 2019г. Долгосрочное развитие Модулькассы</t>
  </si>
  <si>
    <t>Партнерское направление. Проводим обучение топ партеров, подписываем отсрочку платежа на 30 дней(ранее был до 120)</t>
  </si>
  <si>
    <t xml:space="preserve"> Завершаем формирование команды Региональных менеджеров по 5 топовым регионам. Продажа 10т касс за 3 мес с тарифом</t>
  </si>
  <si>
    <t>Салатов</t>
  </si>
  <si>
    <t>Кол-во заявок горячего трафика</t>
  </si>
  <si>
    <t>Конверсия заявка в открытый счет горячий трафик</t>
  </si>
  <si>
    <t>Кол-во заявок теплого трафика</t>
  </si>
  <si>
    <t>Конверсия завка в открытый счет теплый трафик</t>
  </si>
  <si>
    <t>Рекламный бюджет РКО, тыс.р</t>
  </si>
  <si>
    <t>Сделать лендинг РКО с телефоном номера в шапке (без меню).</t>
  </si>
  <si>
    <t>По результатам теста: решению использовать без шапки</t>
  </si>
  <si>
    <t>Убрать чат с лендинга</t>
  </si>
  <si>
    <t>Увеличить ставки ретаргетинга для тех, кто проявил интерес на лендингах</t>
  </si>
  <si>
    <t>Добавить виджет для захвата номера тех, кто проявил интерес</t>
  </si>
  <si>
    <t>Добавить виджет для захвата тех, кто пытается уйти с сайта</t>
  </si>
  <si>
    <t>Разработать и внедрить механику и логику сбора информации после захвата номера телефона</t>
  </si>
  <si>
    <t>Протестировать короткие лендинги вместо длинных, в т.ч. главную страницу</t>
  </si>
  <si>
    <t>Кто ввел номер в формы интереса (захват номера - не реги) - бросать в портал на дальнейшую регу, а не просто звонить.</t>
  </si>
  <si>
    <t>Убрать редиректы на авторизацию при началае реги</t>
  </si>
  <si>
    <t>Разметить цели на лендинге</t>
  </si>
  <si>
    <t>нажал на кнопку, ввел номер телефона, отправли заявку, начал регу, нажал позвонить, увидел "виджет" захвата номера (при уходе и т.д.), проскроллил лендинг не менее чем на 75% и провел на лендинге не менее 1 активной минуты (определение интереса)</t>
  </si>
  <si>
    <t>Первести все заявки на новую регу</t>
  </si>
  <si>
    <t>Интеграция с Emarsys</t>
  </si>
  <si>
    <t>Передача офф-лайн конверсии в рекламные кабинеты</t>
  </si>
  <si>
    <t>Новые лендинги</t>
  </si>
  <si>
    <t>предложению всем кто оставил заявку на обратный звонок в теплый трафик сразу начать регу, а не ждать звонка.</t>
  </si>
  <si>
    <t>детальнее разберем, почему так много нецелевых</t>
  </si>
  <si>
    <t xml:space="preserve"> улучшать дизайн виджетов и смягчим правила их активации.</t>
  </si>
  <si>
    <t>продолжаем тест шапки лендинга РКО без меню</t>
  </si>
  <si>
    <t>зарелизить новую версию ленда тарифов всех продуктов.</t>
  </si>
  <si>
    <t>доработки: обновление правил привязки каналов трафика, корректное распределение трафика по продуктам и корректное определение целевой заявки.</t>
  </si>
  <si>
    <t>Улучшить настройки ретаргетинга (смягчить правила охвата, сделать более детальное разделение на продукты) для увеличения кол-ва возвращаемы пользователей.</t>
  </si>
  <si>
    <t>Снизить стоимость клика в сетках для увеличения охватов.</t>
  </si>
  <si>
    <t>Проанализировать и найти самые эффективные офферы в брендовой рекламе (по результатам новых тестов).</t>
  </si>
  <si>
    <t>Начать проработку логики передачи оффлайн-конверсий в рекламные кабинеты для автоматической оптимизации кампаний по нужным нам целевым действиям (целевая заявка, открытый счет).</t>
  </si>
  <si>
    <t>Утвердить стратегию по имиджевой рекламе с блогерами на осень</t>
  </si>
  <si>
    <t>Музыка</t>
  </si>
  <si>
    <t>Активных клиентов действующего бизнеса, шт.</t>
  </si>
  <si>
    <t>Конверсия заявка в открытый счет горячий трафик, %</t>
  </si>
  <si>
    <t>Конверсия завка в открытый счет теплый трафик, %</t>
  </si>
  <si>
    <t>Кол-во продаж подписок и продуктов, шт.</t>
  </si>
  <si>
    <t xml:space="preserve"> Дорабатываем скрипты на дожим</t>
  </si>
  <si>
    <t>Внедряем цели и мотивацию по эффективности продавцов, % продвижения по воронке</t>
  </si>
  <si>
    <t>Организовать контроль слухарями по графику</t>
  </si>
  <si>
    <t>Модифицировать кампанию в пользу уменьшения звонков, не перегреваем клиента</t>
  </si>
  <si>
    <t>Внедрить бинарный опросник в представление СРМ Телемаркетинг</t>
  </si>
  <si>
    <t>Доработать, протестировать и внедрить MS с учетом всех новых кампаний и логик дозвона</t>
  </si>
  <si>
    <t>Заливка прескоренных баз в холод, продажа банка через продукты в соответствии с сегментами. Внедрение best ofer в CRM "Продажи" 2700 активных клиентов</t>
  </si>
  <si>
    <t>Изменения в мельнице: звонок с блокировкой - 24 часа от даты заявки (3 первых звонка)</t>
  </si>
  <si>
    <t>Увеличить % заполнения маркетинговой анкеты до 80%  (сейчас 30)</t>
  </si>
  <si>
    <t>Включить в предиктив клиентов со встречей из ЛК. Тест 2 недель показал 2% рост из назначенной встречи в завершенную с 66 до 68%</t>
  </si>
  <si>
    <t>Подготовить новую концепцию отработки аудиторий</t>
  </si>
  <si>
    <t>Проверить отчёт PBI</t>
  </si>
  <si>
    <t xml:space="preserve">Тест подключения опций через ЦРМ. </t>
  </si>
  <si>
    <t>Отредактировать критерии по отчету BI.</t>
  </si>
  <si>
    <t>Доработка подключения опций и отчетность по доработке.</t>
  </si>
  <si>
    <t>Продолжаем работу над скриптом.</t>
  </si>
  <si>
    <t>Начать новую рассылку по уникальным клиентам (письмо готово за исключением анимации, база предлположительно будет во вторник).</t>
  </si>
  <si>
    <t>Прозвонить базу с продажей эквайринга</t>
  </si>
  <si>
    <t>Распорядок дня для капитанов по аутлуку.</t>
  </si>
  <si>
    <t>Провели вводное и углубленное обучение нового сотрудника, вывели его на линию.</t>
  </si>
  <si>
    <t xml:space="preserve">Тестировали варианты скриптов  максимальная отработка клиента. </t>
  </si>
  <si>
    <t>Машкова</t>
  </si>
  <si>
    <t>SLA (15 мин) первая реакция, %</t>
  </si>
  <si>
    <t>SLA (1 мин) первая реакция премиум, %</t>
  </si>
  <si>
    <t>Информационная нагрузка на 1 клиента( &lt; 5 рассылок), шт.</t>
  </si>
  <si>
    <t>Разделить поток Премум клиентов на Премиум БА</t>
  </si>
  <si>
    <t>Обращения от премиум клиентов сделать приоритетными.</t>
  </si>
  <si>
    <t>Выделить 2 команды по 7 БА + Кэп для премиум поддержки</t>
  </si>
  <si>
    <t>Мотивация для премиум задач</t>
  </si>
  <si>
    <t>Статистика в pBI по SLA для премиум клиентов</t>
  </si>
  <si>
    <t>Сегментация клиентов по профилю</t>
  </si>
  <si>
    <t>Сохранять SLA в вечернее и ночное время (после 22-00)</t>
  </si>
  <si>
    <t>Усилили вечер. 4 новых БА работают на графике с 14 до 13, с 15 до 24, с 16 до 01. Но, чтобы их работа была эффективнее, нужно еще опыта набраться.</t>
  </si>
  <si>
    <t>Набрать 10 новых БА</t>
  </si>
  <si>
    <t>Реализовать новую логику распределения задачи, чтобы бизнес-ассистент нажимал (+) и этим действием попадал в очередь для распределения. Новая задача автоматически падала на этого ассистента.</t>
  </si>
  <si>
    <t>Не делаем</t>
  </si>
  <si>
    <t>Протестили и поняли, что джуны так могут первую реакцию просрочить.</t>
  </si>
  <si>
    <t>Статистика в pBI по SLA для обычных клиентов</t>
  </si>
  <si>
    <t>Первая реакция в Modulpos</t>
  </si>
  <si>
    <t>Первую реакцию сократили в 2 раза. Метрики хотим определить как в заботе банка, но в кассах не хватает людей, а тех кого взяли еще не опытные совсем. Пока обучаем их.</t>
  </si>
  <si>
    <t>Тикетная система работы со второй линией</t>
  </si>
  <si>
    <t>KPI команды на качество</t>
  </si>
  <si>
    <t>Перестроить конфлюенс. Найти человека для работы с базой знаний.</t>
  </si>
  <si>
    <t>Отключить автоматические рекламы из ЦРМ(бух, кассы, эквайринг)</t>
  </si>
  <si>
    <t>Найти эксперта по коммуникациям</t>
  </si>
  <si>
    <t>Переработать авто-уведомления всех отделов. (Ибрагимов, Амелькина, Музыка)​</t>
  </si>
  <si>
    <t>Расформировать реанимацию</t>
  </si>
  <si>
    <t>Передача репутации на отзовиках</t>
  </si>
  <si>
    <t>Передача репутации в соцсетях</t>
  </si>
  <si>
    <t xml:space="preserve">Приоритизировать концепт: в админке чата разделить очередь на премиум клиентов и остальных клиентов. Сделать настройку - присваивать БА признак премиальности. </t>
  </si>
  <si>
    <t>Согласовать новую мотивацию команде.</t>
  </si>
  <si>
    <t>Перестроить проверку качества. Начать работать по новым стандартам. (Разработали стандарт разговора на линии и диалога в чате.)</t>
  </si>
  <si>
    <t>Разработать новые стандарты работы по самым частым кейсам.</t>
  </si>
  <si>
    <t>Подготовить мотивацию для заботы касс.</t>
  </si>
  <si>
    <t>Спирин</t>
  </si>
  <si>
    <t>Выгрузка отчетных форм в ПТК</t>
  </si>
  <si>
    <t>Автоматизация учета НМА. Запустить автоматический учет на базе ЦФТ.</t>
  </si>
  <si>
    <t>Автоматизация учета ТМЦ. Реализовать автоматическую загрузку товарных накладных в ЦФТ</t>
  </si>
  <si>
    <t>Автоматизировать формирование отчетности 0409401 в части ценных бумаг</t>
  </si>
  <si>
    <t>Поэтапное удержание кредита из ЗП</t>
  </si>
  <si>
    <t>Задача по реформации штатного расписания</t>
  </si>
  <si>
    <t>Автоматизация процесса премирования</t>
  </si>
  <si>
    <t>Внедрить ПЭП в процессах ДОПЛАТА (интенсивность, работа в выходной) и СОЦ_ВЫПЛАТЫ (материальная помощь)</t>
  </si>
  <si>
    <t>Перенастроить импорт баз данных из НРД на формат API для автоматического обновления данных по бумагам и эмитентам</t>
  </si>
  <si>
    <t>Внести изменения в процесс согласования заявок на оплату в 1С-Финансист</t>
  </si>
  <si>
    <t>Расчет показателя ПДН по кредитам ФЛ. По требованию ЦБ с 1 октября в расчет нормативов вводится новый показатель. Необходимо реализовать расчет и оценить влияние на нормативы.</t>
  </si>
  <si>
    <t>Реестр вкладчиков АСВ. Настроить автоматический расчет нового реестра по новым требованиям ЦБ</t>
  </si>
  <si>
    <t>Громова</t>
  </si>
  <si>
    <t>Создать более эффективное рабочее пространство в Москве</t>
  </si>
  <si>
    <t>Повысить долю вовлеченных сотрудников: 27% -&gt;37% по итогам сентября</t>
  </si>
  <si>
    <t>Чубаров</t>
  </si>
  <si>
    <t>Устранить замечания по Предписанию Банка России по ВПОДК;</t>
  </si>
  <si>
    <t>Пересмотреть методологию и стресс-тесты по значимым и материальным рискам</t>
  </si>
  <si>
    <t>Построить площадку по управлению рисками на базе КУАП</t>
  </si>
  <si>
    <t>Разработать новую Стратегию по операционному риску</t>
  </si>
  <si>
    <t>Ожогова</t>
  </si>
  <si>
    <t>Найм сотрудников: Маркетинг SLA по офферам - 31/07/19 
Массовые вакансии SLA по офферам - 31/08/19
Сложные IT вакансии SLA по офферам - 31/08/19</t>
  </si>
  <si>
    <t>Полное покрытие команды грейдовыми сетками или перформанс встречами</t>
  </si>
  <si>
    <t>Степанов</t>
  </si>
  <si>
    <t>Создать технологию по проверки и масштабированию взаимодействия с сегментами «действующий бизнес»</t>
  </si>
  <si>
    <t>Создать атрибуцию по интернет маркетингу: знаем вес каждой компании на пути к активному счету. Применяем в полу-ручном режиме для распределения бюджетов в рамках компаний.</t>
  </si>
  <si>
    <t>Проанализировать падение вовлеченности и лояльности в команде. Предложить улучшения.</t>
  </si>
  <si>
    <t>Заказать всю мебель для  трекшен/релакс-зоны</t>
  </si>
  <si>
    <t>Закупить  мебель для офисов КМ, договориться о хранении (столы/стулья)</t>
  </si>
  <si>
    <t>Сделать презентацию на Трекшн по новой программе кредитования сотрудников.</t>
  </si>
  <si>
    <t>Командировка в Липецк: прокачка команды. Рассказываю им стратегию квартала, общаемся по обратной связи из Хэппи Джоб.</t>
  </si>
  <si>
    <t>Провести покраску стен и демонтаж стекла в зоне маркетинга.</t>
  </si>
  <si>
    <t>Если приедут столешницы для маркетинга- смонтируем столешницы.</t>
  </si>
  <si>
    <t>Провести плановые командные мероприятия на площадках</t>
  </si>
  <si>
    <t>Перенос: Запросить КП на строительные работы во всех БЦ офисов КМ, подлежащих редизайну.</t>
  </si>
  <si>
    <t>Перенос: Утвердить мотивацию УП у Горыныча</t>
  </si>
  <si>
    <t xml:space="preserve">Найти и реализовать загрузку данных по хитам/сессиям. </t>
  </si>
  <si>
    <t>Первоначальная технология получения информации по хитам/сессиям из Google Analytics стала неприемлемой: началось семплирование ( неполные данные) из-за увеличения кол-ва целей  на сайте.</t>
  </si>
  <si>
    <t>Найти решения и устранить  проблемы с качеством данных:
В месяц 10 000 +  GoogleID, по которым оставлены заявки, теряются при стриминге owox.</t>
  </si>
  <si>
    <t xml:space="preserve">Найти решения и устранить  проблемы с качеством данных:
Совместно с Димой обойти блокировки adBlock-a, из-за которой теряем  5-10% сессий. </t>
  </si>
  <si>
    <t>Из-за планов выключить старый КХД , перевести расчеты со старого на новый сервер КХД (перестройка логики под новую структуру КХД).</t>
  </si>
  <si>
    <t xml:space="preserve"> Мероприятия ( "нахождение", подготовка, передача в РК сегментов, ) по работе с сегментом действующий бизнес – «Стройка».</t>
  </si>
  <si>
    <t xml:space="preserve">Планируем тестировать функционал по проекту «Деньги вперед». </t>
  </si>
  <si>
    <t>Если параллельная тема с открытием номинального счета для компании «Деньги вперед» не натолкнется на непреодолимые препятствия, то в ближайшем будущем сможем стартануть беспрецедентный пилот. Будем искать тестовую группу среди заинтересованных сотрудников. Если среди вас есть заинтересованные получать ЗП чаще, чем 2 раза в месяц – вэлкам в личку.</t>
  </si>
  <si>
    <t>Предоставить Диме Салатову список контрагентов, с которыми есть недоработки по закрывающим документам (налоговые риски). Вместе поработать над устранением проблемы.</t>
  </si>
  <si>
    <t xml:space="preserve"> Одной из задач в квартальной цели «Отсутствие критических ошибок» была задача по реализации реестра вкладчиков АСВ.</t>
  </si>
  <si>
    <t>Вышла проверка и запросила этот реестр. Вроде, мы успели его реализовать, потестить и поисправлять ошибки. Сейчас выгружаем его на бою.</t>
  </si>
  <si>
    <t>Перенос: планируем завершить тестирование нового автоматического учета НМА в ЦФТ.</t>
  </si>
  <si>
    <t>Сделать набросок зоны отдыха и трекшена в Москве/ подсчитать бюджет. Утвердить у Горыныча</t>
  </si>
  <si>
    <t>Отправить уведомления во все БЦ офисов КМ, подлежащих редизайну.</t>
  </si>
  <si>
    <t>Запросить КП на строительные работы во всех БЦ офисов КМ, подлежащих редизайну.</t>
  </si>
  <si>
    <t>Перенос</t>
  </si>
  <si>
    <t>Утвердить мотивацию УП у Горыныча</t>
  </si>
  <si>
    <t>Организовать внутрикомандные мероприятия на всех площадках (йога в МСК и НСК,  выездное мероприятие Stand Up Кострома, встреча с внешним спикером Москва, внешний мит ап Уфа)</t>
  </si>
  <si>
    <t>Запустить  новую волну  Happy Job</t>
  </si>
  <si>
    <t>Отдать в изготовление проект озеленения Москвы (опись горшков, колеровки, осмотр растений, договор на сопросождение)</t>
  </si>
  <si>
    <t>Озеленение офиса Москвы: оплачено. Начато изготовление и посадка растений, в офисе растения появятся уже в конце августа.</t>
  </si>
  <si>
    <t>Сделать плановые информационные сопровождения в новостной канал</t>
  </si>
  <si>
    <t xml:space="preserve">Дособрать информацию по запросу проверки ЦБ </t>
  </si>
  <si>
    <t>Собрать аналитику по операциям лояльности (возврат клиентам комиссий). Вместе с Нуром, Антоном и Антоном подумать над целесообразностью проявления лояльности в некоторых стандартных ситуациях. Цель – снизить излишне уплачиваемые налоги.</t>
  </si>
  <si>
    <t xml:space="preserve"> Ребята в Заботе внесли небольшие коррективы в работу по запросам клиентов на возврат комиссии. Несколько дней чувствуем снижение объема служебок на возвраты. По итогам квартала посмотрим с финансовой точки зрения, что получилось. Оценить тренд сможем, т.к. до этого он был достаточно линейным.</t>
  </si>
  <si>
    <t>Тестируем автоматическую налоговую амортизацию НМА в ЦФТ.</t>
  </si>
  <si>
    <t xml:space="preserve">Оформить все премии по продажам за вторую половину июля к начислению аванса, используя автоматизированную форму </t>
  </si>
  <si>
    <t xml:space="preserve"> Добить и отдать в работу IT алгоритм подписания ПЭПом приказов на работу в выходные в  JIRA и согласовать сроки реализации</t>
  </si>
  <si>
    <t>Потестили релиз по автоматизации отчета по форме 401. Нашли ошибки. Отдали в ЦФТна доработку</t>
  </si>
  <si>
    <t>За месяц</t>
  </si>
  <si>
    <t>Системы</t>
  </si>
  <si>
    <t>Карпов</t>
  </si>
  <si>
    <t>SLA  систем, %</t>
  </si>
  <si>
    <t>Сабирянов</t>
  </si>
  <si>
    <t>Закрыть все баги с прода. ​</t>
  </si>
  <si>
    <t>Закрывать тех долг, согласно списку ​ https://confluence.modulbank.ru/pages/viewpage.action?pageId=80478175</t>
  </si>
  <si>
    <t>Исправление артефактов https://airtable.com/tbllEzW1Yj18695hi/viw7e9Wa1mdXQLXOO?blocks=hide</t>
  </si>
  <si>
    <t>Реализация процесса автоматизированноего деплоя проекта БГ без участия админов</t>
  </si>
  <si>
    <t>Изначальная формулировка задачи: "CD - запустить процесс бесшовного деплоя, без участия админов. ​ Сейчас срок сделать это решение на тестовой инфраструктуре до 1го сентября. До конца квартала на прод масштабировать"</t>
  </si>
  <si>
    <t>Регрессионные тесты ЛК покрыть автотестами на 90%.​</t>
  </si>
  <si>
    <t>Сейчас покрыто 75%. Под базовым функционалом понимаем то что должно быть покрыто Must have</t>
  </si>
  <si>
    <t>Сделать выделенную нагрузочную среду​</t>
  </si>
  <si>
    <t>Запустить стейжинги или закрыть этот проект и сделать простое альтернативное решение​</t>
  </si>
  <si>
    <t>"слишком сложно поддерживать финальное решени до 16/08/19 Проект закрывается"</t>
  </si>
  <si>
    <t>Поменять процесс разработки. Вливать фичи на пред-прод миры по мере готовности.​</t>
  </si>
  <si>
    <t>"Эта постановка задачи сейчас не корректная и не несет никакой ценности. Так как мы и сейчас это можем делать, но толку будет мало. Поэтому цель до конца квартала теперь такая: - Сократить время регресса Портала до 1 дня (сейчас 2 дня)"</t>
  </si>
  <si>
    <t>Замена КЦ​</t>
  </si>
  <si>
    <t>Центр мониторинга работает на 100%​</t>
  </si>
  <si>
    <t>Улучшение процесса тестирования проектов: полностью перейти на параллельное ручное и нагрузочное тестирование. Сейчас последовательно.
Цель: ускорить подготовку релиза и укладываться в рабочее время.</t>
  </si>
  <si>
    <t>Перенос: Создать метрики для еженедельного трекшена Качества проектов, чтобы понимать становимся мы лучше или нет. Получить метрики от команд. Метрики буду публиковать в конфлюенс со ссылкой в этот чат.</t>
  </si>
  <si>
    <t xml:space="preserve">Разобраться с ОКАС: Понять на каком этапе перенос на инфраструктуру банка. Договориться о точках контроля. </t>
  </si>
  <si>
    <t>Договориться с ФБР о работе через Jira</t>
  </si>
  <si>
    <t>Создать метрики для еженедельного трекшена Качества проектов, чтобы понимать становимся мы лучше или нет. Получить метрики от команд. Метрики буду публиковать в конфлюенс со ссылкой в этот чат.</t>
  </si>
  <si>
    <t>На 19/08/19</t>
  </si>
  <si>
    <t>Улучшение процесса тестирования проектов: До конца недели настроить отдельный нагрузочный стенд.</t>
  </si>
  <si>
    <t>Нагрузочный стенд развернут. Мониторинг настроен.</t>
  </si>
  <si>
    <t>Улучшение процесса в разработке: Получить результат встречи разработчиков СРМ и тестеровщиков с командой CS Банка, по работе с инцендентами. По тестированию: Результат должен быть договоренность с CS в заведении инцендентов без команды тестирования Банка.</t>
  </si>
  <si>
    <t>Провели встречи с CS банка, подготовлены чек-листы, для корректной постановки задач и сокращения NVA.
Для СРМ команды разработки составлен чек-лист, график дежурств- отправлено в CS и группу мониторинга.</t>
  </si>
  <si>
    <t>Сформулировать цели и стратегию совместно с инфраструкторной командой.</t>
  </si>
  <si>
    <t>Сформированы цели команды и скорректирована стратегия на остаток 3го квартала.
Провели встречу с командой Мониторинга. Договорились о первых шагах в сторону мониторинга производительности. Цель: выстроить совместную работу между отделом инфраструктуры разработки и службой Мониторинга.</t>
  </si>
  <si>
    <t>13 недель в 3кв</t>
  </si>
  <si>
    <t>0 неделя (27)</t>
  </si>
  <si>
    <t>1 неделя (28)</t>
  </si>
  <si>
    <t>2 неделя (29)</t>
  </si>
  <si>
    <t>3 неделя (30)</t>
  </si>
  <si>
    <t>За Июль</t>
  </si>
  <si>
    <t>4 неделя (31)</t>
  </si>
  <si>
    <t>5 неделя (32)</t>
  </si>
  <si>
    <t>6 неделя (33)</t>
  </si>
  <si>
    <t>7 неделя (34)</t>
  </si>
  <si>
    <t>Чья цель</t>
  </si>
  <si>
    <t>Обсужить расчет с Настей</t>
  </si>
  <si>
    <t>План и расчет на уточнении</t>
  </si>
  <si>
    <t>Отчет в разработке</t>
  </si>
  <si>
    <t>Гарнии</t>
  </si>
  <si>
    <t>Кассы</t>
  </si>
  <si>
    <t>Интернет -продажи</t>
  </si>
  <si>
    <t>Прямые продажи</t>
  </si>
  <si>
    <t>Забота</t>
  </si>
  <si>
    <t>с 16/07/19</t>
  </si>
  <si>
    <t>Бюджет по ИТ, тыс. р</t>
  </si>
  <si>
    <t>SLA систем, %</t>
  </si>
  <si>
    <t>Подготавливаем и внедряем на первых клиентов процесс «Касса под ключ».
Рост NPS_0 и дон доход от 700т.р. в месяц</t>
  </si>
  <si>
    <t>Работа с поддержкой касс. Пересматриваем процесс взаимодействия с клиентом, Базу знаний(а, актуализируем все тематики обращений. Рост NPS_0 и NPS_100 до 85+</t>
  </si>
  <si>
    <t>Анализ рынка кассового оборудования(железо). Выход на новые рынки продовольственной розницы. Удвоение базы в 2020г, сохранение позиции ТОП-2 в смарт- кассах</t>
  </si>
  <si>
    <t>Определили артефакты которые начнем решать в первую очередь. Реализация комплекса выработанных мероприятий обеспечит долгосрочное развитие МодульКассы</t>
  </si>
  <si>
    <t>N недели</t>
  </si>
  <si>
    <t>ID</t>
  </si>
  <si>
    <t>ДатаСоздания</t>
  </si>
  <si>
    <t>НомерМодульНедели</t>
  </si>
  <si>
    <t>БизнесЛиния</t>
  </si>
  <si>
    <t>ТипЗадачи</t>
  </si>
  <si>
    <t>Задача</t>
  </si>
  <si>
    <t>Текущая</t>
  </si>
  <si>
    <t>ГотовоДоп</t>
  </si>
  <si>
    <t>Гарантии</t>
  </si>
  <si>
    <t>Кредиты</t>
  </si>
  <si>
    <t>ДатаПонедельника</t>
  </si>
  <si>
    <t>Проектная</t>
  </si>
  <si>
    <t>{C7576C13-A911-BBD6-82A4-D775D1AC1D09}</t>
  </si>
  <si>
    <t>{413E3A42-755B-4836-BDCD-EEA6FE2ED0C5}</t>
  </si>
  <si>
    <t>{899EAF72-454C-CAB0-96D0-8D8C561F22E7}</t>
  </si>
  <si>
    <t>{1C37AEEC-8465-36AB-977C-9A205420A877}</t>
  </si>
  <si>
    <t>{26AA1DB8-9F76-6122-BD42-18AA54D178AD}</t>
  </si>
  <si>
    <t>{35B7C11F-D42E-4D4B-96E3-CD54B4126493}</t>
  </si>
  <si>
    <t>{A3EFBB1A-CEF0-B34F-AD2D-BC451F546360}</t>
  </si>
  <si>
    <t>{EE03D3E0-CABB-A448-9085-CA968347475D}</t>
  </si>
  <si>
    <t>{73921CCA-3410-157C-9AB8-CB80BB9D1684}</t>
  </si>
  <si>
    <t>{AD6C3BC2-799E-BBE6-9867-C52AF5F6A52B}</t>
  </si>
  <si>
    <t>{C9E4452D-06F9-AADD-8643-9BAEAB02D73B}</t>
  </si>
  <si>
    <t>{75F90DE8-37DD-A87A-82EC-13454D61A21E}</t>
  </si>
  <si>
    <t>{EC2B7958-88EF-B9C5-A705-410615C4F9BC}</t>
  </si>
  <si>
    <t>{AA2C8C77-46CC-B017-924A-E72990DBA26D}</t>
  </si>
  <si>
    <t>{1D8B1C9D-ED27-9379-8040-1DB94A389F4A}</t>
  </si>
  <si>
    <t>{810A1DC4-DAAE-3623-ACA4-861C528BC87A}</t>
  </si>
  <si>
    <t>{72494433-8AF4-6C3C-A538-472C62742E38}</t>
  </si>
  <si>
    <t>{4CE7B412-49B7-3DCF-B56D-3441B6A3698A}</t>
  </si>
  <si>
    <t>{5DA7537A-839A-8A24-9A14-2173BCD9ABAA}</t>
  </si>
  <si>
    <t>{2227E485-B53C-2A52-80CA-230BE296AAB1}</t>
  </si>
  <si>
    <t>{05097C89-3B4D-1192-A434-EFF3919C79E5}</t>
  </si>
  <si>
    <t>{64DEC181-7360-321D-A1E0-9981478BED62}</t>
  </si>
  <si>
    <t>{BB75E6B3-C733-73CC-B5BE-D6DD32F3EB4D}</t>
  </si>
  <si>
    <t>{5760AF39-B677-A727-9C31-CA23EBA458C1}</t>
  </si>
  <si>
    <t>{A55D034C-9BBD-C416-9307-4979C33E27F5}</t>
  </si>
  <si>
    <t>{20E0C4E4-C4B6-BEC2-B6C2-190833553D13}</t>
  </si>
  <si>
    <t>{25D7E768-CB11-6A83-A141-4DE999956F32}</t>
  </si>
  <si>
    <t>{12B351C3-EE7F-AB63-9206-AA6361A2B29B}</t>
  </si>
  <si>
    <t>{6145E66B-AA72-7888-B3B1-3591E85A0847}</t>
  </si>
  <si>
    <t>{611D9B3B-6BD9-B32C-8313-B398A91F398E}</t>
  </si>
  <si>
    <t>{9CCC4679-7D34-5248-8DAA-46A4E3A23779}</t>
  </si>
  <si>
    <t>{6122D851-6D25-3834-9F3A-95DB41A2D731}</t>
  </si>
  <si>
    <t>{2AB048E7-787C-3B18-8543-B368FFDF3EEB}</t>
  </si>
  <si>
    <t>{46465A67-29A9-4EFD-8993-86618BCBF1C5}</t>
  </si>
  <si>
    <t>{306513E7-DE7C-481C-ABDB-D10F413732E3}</t>
  </si>
  <si>
    <t>{44AC45B2-F398-3C9C-B6AE-B97C9CA2C88F}</t>
  </si>
  <si>
    <t>{F1DDE8DE-E49B-DD97-A6AB-E3DFFADD97C3}</t>
  </si>
  <si>
    <t>{B099EE87-1E37-4355-B982-6352C78984C5}</t>
  </si>
  <si>
    <t>{C0813CD2-EE0B-3FED-99E4-2D1B713672BE}</t>
  </si>
  <si>
    <t>{BD528818-B0B8-A87B-9682-E735529576B9}</t>
  </si>
  <si>
    <t>{E39F0533-1000-9134-99EB-B4E7E76535FB}</t>
  </si>
  <si>
    <t>{AF19688B-3A72-CE43-A1C1-796A8E38C39F}</t>
  </si>
  <si>
    <t>{8D5FA538-ACCE-36CE-A9D4-0BB793AE04CD}</t>
  </si>
  <si>
    <t>{CA13B143-B396-BBE0-ADA4-4E269288DEAC}</t>
  </si>
  <si>
    <t>{D3E47104-E99A-44DF-9C03-37B0C7562577}</t>
  </si>
  <si>
    <t>{4384B874-8D7A-C3B6-826F-AAACB1D8CD35}</t>
  </si>
  <si>
    <t>{47A28BEA-1AC7-2CAC-899A-8B24B9A0CB2D}</t>
  </si>
  <si>
    <t>{6CDEB062-ED31-47DA-AF46-B1403D6C036B}</t>
  </si>
  <si>
    <t>{EFCC4931-7379-F689-A1E1-4C38AAC05A35}</t>
  </si>
  <si>
    <t>{6B39FD51-172F-5DB1-9B6C-E5165D799494}</t>
  </si>
  <si>
    <t>{2E97CF19-37F5-2399-A939-AD21C11AD6C1}</t>
  </si>
  <si>
    <t>{84C6A475-4E89-4A6C-A927-6B725443E4E4}</t>
  </si>
  <si>
    <t>{195771CA-AA8D-B832-96B7-F34261B4B335}</t>
  </si>
  <si>
    <t>{19EA1822-C793-5132-9DA9-59A8651C37BD}</t>
  </si>
  <si>
    <t>{F2307195-1268-1995-BBAE-62CDBCFE24B6}</t>
  </si>
  <si>
    <t>{40C97E7C-D69E-C674-9C57-21DCD42A9146}</t>
  </si>
  <si>
    <t>{3E6615CF-91C7-6AE7-9C54-5C0A29216E87}</t>
  </si>
  <si>
    <t>{5BB71AC7-AEB3-DC48-9855-E762E7A175B2}</t>
  </si>
  <si>
    <t>{E35C718C-8B11-1F9E-9DFB-C72BAA6CB6ED}</t>
  </si>
  <si>
    <t>{81E72E58-9552-C802-87E7-F07ED0E30853}</t>
  </si>
  <si>
    <t>{72280831-3657-2CBC-A3D9-4674B5F65F2B}</t>
  </si>
  <si>
    <t>{23AEE151-CC90-EFD5-BC51-9F45D4368E70}</t>
  </si>
  <si>
    <t>{F11CDEE1-C4EE-0596-8120-DE298B338C67}</t>
  </si>
  <si>
    <t>{6621B428-8AD2-6426-9CD6-F93947BD3C4A}</t>
  </si>
  <si>
    <t>{C26D580F-8A1B-DE8F-9A25-D38E53568303}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</si>
</sst>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\ _₽_-;\-* #,##0.00\ _₽_-;_-* &quot;-&quot;??\ _₽_-;_-@_-"/>
    <numFmt numFmtId="164" formatCode="_-* #,##0\ _₽_-;\-* #,##0\ _₽_-;_-* &quot;-&quot;??\ _₽_-;_-@_-"/>
    <numFmt numFmtId="165" formatCode="0.0%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A86ED4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dotted">
        <color auto="1"/>
      </top>
      <bottom style="medium">
        <color indexed="64"/>
      </bottom>
      <diagonal/>
    </border>
    <border>
      <left/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80">
    <xf numFmtId="0" fontId="0" fillId="0" borderId="0" xfId="0"/>
    <xf numFmtId="0" fontId="0" fillId="0" borderId="0" xfId="0" applyAlignment="1"/>
    <xf numFmtId="0" fontId="3" fillId="3" borderId="3" xfId="1" applyFont="1" applyFill="1" applyBorder="1" applyAlignment="1">
      <alignment vertical="center"/>
    </xf>
    <xf numFmtId="0" fontId="3" fillId="3" borderId="4" xfId="1" applyFont="1" applyFill="1" applyBorder="1"/>
    <xf numFmtId="164" fontId="3" fillId="3" borderId="5" xfId="1" applyNumberFormat="1" applyFont="1" applyFill="1" applyBorder="1" applyAlignment="1">
      <alignment horizontal="center" vertical="center"/>
    </xf>
    <xf numFmtId="0" fontId="2" fillId="2" borderId="0" xfId="1" applyFill="1" applyBorder="1"/>
    <xf numFmtId="0" fontId="2" fillId="4" borderId="0" xfId="1" applyFill="1" applyBorder="1"/>
    <xf numFmtId="0" fontId="2" fillId="4" borderId="0" xfId="1" applyFill="1"/>
    <xf numFmtId="0" fontId="4" fillId="3" borderId="10" xfId="1" applyFont="1" applyFill="1" applyBorder="1" applyAlignment="1">
      <alignment vertical="center"/>
    </xf>
    <xf numFmtId="0" fontId="4" fillId="3" borderId="11" xfId="1" applyFont="1" applyFill="1" applyBorder="1"/>
    <xf numFmtId="164" fontId="4" fillId="3" borderId="12" xfId="1" applyNumberFormat="1" applyFont="1" applyFill="1" applyBorder="1" applyAlignment="1">
      <alignment horizontal="center" vertical="center"/>
    </xf>
    <xf numFmtId="0" fontId="4" fillId="3" borderId="13" xfId="1" applyFont="1" applyFill="1" applyBorder="1"/>
    <xf numFmtId="0" fontId="4" fillId="3" borderId="14" xfId="1" applyFont="1" applyFill="1" applyBorder="1"/>
    <xf numFmtId="0" fontId="4" fillId="3" borderId="10" xfId="1" applyFont="1" applyFill="1" applyBorder="1"/>
    <xf numFmtId="0" fontId="4" fillId="3" borderId="15" xfId="1" applyFont="1" applyFill="1" applyBorder="1"/>
    <xf numFmtId="0" fontId="2" fillId="6" borderId="17" xfId="1" applyFill="1" applyBorder="1" applyAlignment="1"/>
    <xf numFmtId="164" fontId="5" fillId="6" borderId="18" xfId="1" applyNumberFormat="1" applyFont="1" applyFill="1" applyBorder="1" applyAlignment="1">
      <alignment horizontal="right" vertical="center"/>
    </xf>
    <xf numFmtId="164" fontId="2" fillId="6" borderId="19" xfId="1" applyNumberFormat="1" applyFill="1" applyBorder="1"/>
    <xf numFmtId="3" fontId="2" fillId="6" borderId="20" xfId="1" applyNumberFormat="1" applyFill="1" applyBorder="1"/>
    <xf numFmtId="9" fontId="6" fillId="6" borderId="17" xfId="2" applyFont="1" applyFill="1" applyBorder="1"/>
    <xf numFmtId="164" fontId="2" fillId="6" borderId="21" xfId="1" applyNumberFormat="1" applyFill="1" applyBorder="1"/>
    <xf numFmtId="3" fontId="2" fillId="6" borderId="21" xfId="1" applyNumberFormat="1" applyFill="1" applyBorder="1"/>
    <xf numFmtId="9" fontId="6" fillId="6" borderId="22" xfId="2" applyFont="1" applyFill="1" applyBorder="1"/>
    <xf numFmtId="164" fontId="2" fillId="6" borderId="23" xfId="1" applyNumberFormat="1" applyFill="1" applyBorder="1"/>
    <xf numFmtId="164" fontId="2" fillId="6" borderId="20" xfId="1" applyNumberFormat="1" applyFill="1" applyBorder="1"/>
    <xf numFmtId="9" fontId="6" fillId="6" borderId="24" xfId="2" applyFont="1" applyFill="1" applyBorder="1"/>
    <xf numFmtId="164" fontId="2" fillId="6" borderId="6" xfId="1" applyNumberFormat="1" applyFill="1" applyBorder="1"/>
    <xf numFmtId="164" fontId="2" fillId="6" borderId="7" xfId="1" applyNumberFormat="1" applyFill="1" applyBorder="1"/>
    <xf numFmtId="9" fontId="6" fillId="6" borderId="4" xfId="2" applyFont="1" applyFill="1" applyBorder="1"/>
    <xf numFmtId="0" fontId="2" fillId="6" borderId="26" xfId="1" applyFill="1" applyBorder="1" applyAlignment="1"/>
    <xf numFmtId="164" fontId="5" fillId="6" borderId="27" xfId="1" applyNumberFormat="1" applyFont="1" applyFill="1" applyBorder="1" applyAlignment="1">
      <alignment horizontal="right" vertical="center"/>
    </xf>
    <xf numFmtId="164" fontId="2" fillId="6" borderId="28" xfId="1" applyNumberFormat="1" applyFill="1" applyBorder="1"/>
    <xf numFmtId="164" fontId="2" fillId="6" borderId="29" xfId="1" applyNumberFormat="1" applyFill="1" applyBorder="1"/>
    <xf numFmtId="9" fontId="6" fillId="6" borderId="26" xfId="2" applyFont="1" applyFill="1" applyBorder="1"/>
    <xf numFmtId="164" fontId="2" fillId="6" borderId="30" xfId="1" applyNumberFormat="1" applyFill="1" applyBorder="1"/>
    <xf numFmtId="9" fontId="6" fillId="6" borderId="31" xfId="2" applyFont="1" applyFill="1" applyBorder="1"/>
    <xf numFmtId="164" fontId="2" fillId="6" borderId="32" xfId="1" applyNumberFormat="1" applyFill="1" applyBorder="1"/>
    <xf numFmtId="9" fontId="5" fillId="6" borderId="27" xfId="1" applyNumberFormat="1" applyFont="1" applyFill="1" applyBorder="1" applyAlignment="1">
      <alignment horizontal="right" vertical="center"/>
    </xf>
    <xf numFmtId="9" fontId="2" fillId="6" borderId="28" xfId="1" applyNumberFormat="1" applyFill="1" applyBorder="1"/>
    <xf numFmtId="10" fontId="2" fillId="6" borderId="29" xfId="1" applyNumberFormat="1" applyFill="1" applyBorder="1"/>
    <xf numFmtId="9" fontId="2" fillId="6" borderId="29" xfId="1" applyNumberFormat="1" applyFill="1" applyBorder="1"/>
    <xf numFmtId="0" fontId="2" fillId="7" borderId="34" xfId="1" applyFill="1" applyBorder="1"/>
    <xf numFmtId="9" fontId="5" fillId="7" borderId="27" xfId="1" applyNumberFormat="1" applyFont="1" applyFill="1" applyBorder="1" applyAlignment="1">
      <alignment horizontal="right" vertical="center"/>
    </xf>
    <xf numFmtId="9" fontId="2" fillId="7" borderId="28" xfId="1" applyNumberFormat="1" applyFill="1" applyBorder="1"/>
    <xf numFmtId="9" fontId="2" fillId="7" borderId="29" xfId="1" applyNumberFormat="1" applyFill="1" applyBorder="1"/>
    <xf numFmtId="9" fontId="5" fillId="7" borderId="26" xfId="1" applyNumberFormat="1" applyFont="1" applyFill="1" applyBorder="1"/>
    <xf numFmtId="9" fontId="2" fillId="7" borderId="30" xfId="1" applyNumberFormat="1" applyFill="1" applyBorder="1"/>
    <xf numFmtId="10" fontId="2" fillId="7" borderId="29" xfId="1" applyNumberFormat="1" applyFill="1" applyBorder="1"/>
    <xf numFmtId="9" fontId="6" fillId="7" borderId="26" xfId="2" applyFont="1" applyFill="1" applyBorder="1"/>
    <xf numFmtId="9" fontId="2" fillId="7" borderId="29" xfId="3" applyFont="1" applyFill="1" applyBorder="1"/>
    <xf numFmtId="9" fontId="5" fillId="7" borderId="26" xfId="3" applyFont="1" applyFill="1" applyBorder="1"/>
    <xf numFmtId="9" fontId="5" fillId="7" borderId="31" xfId="4" applyFont="1" applyFill="1" applyBorder="1"/>
    <xf numFmtId="9" fontId="5" fillId="7" borderId="31" xfId="1" applyNumberFormat="1" applyFont="1" applyFill="1" applyBorder="1"/>
    <xf numFmtId="0" fontId="2" fillId="7" borderId="29" xfId="1" applyFill="1" applyBorder="1"/>
    <xf numFmtId="0" fontId="5" fillId="7" borderId="26" xfId="1" applyFont="1" applyFill="1" applyBorder="1"/>
    <xf numFmtId="9" fontId="6" fillId="5" borderId="26" xfId="2" applyFont="1" applyFill="1" applyBorder="1"/>
    <xf numFmtId="0" fontId="2" fillId="7" borderId="34" xfId="1" applyFill="1" applyBorder="1" applyAlignment="1"/>
    <xf numFmtId="9" fontId="5" fillId="7" borderId="27" xfId="3" applyFont="1" applyFill="1" applyBorder="1" applyAlignment="1">
      <alignment horizontal="right" vertical="center"/>
    </xf>
    <xf numFmtId="9" fontId="2" fillId="7" borderId="28" xfId="3" applyFont="1" applyFill="1" applyBorder="1"/>
    <xf numFmtId="9" fontId="2" fillId="7" borderId="30" xfId="3" applyFont="1" applyFill="1" applyBorder="1"/>
    <xf numFmtId="9" fontId="5" fillId="7" borderId="31" xfId="3" applyFont="1" applyFill="1" applyBorder="1"/>
    <xf numFmtId="0" fontId="2" fillId="7" borderId="28" xfId="1" applyFill="1" applyBorder="1"/>
    <xf numFmtId="0" fontId="2" fillId="6" borderId="37" xfId="1" applyFill="1" applyBorder="1" applyAlignment="1"/>
    <xf numFmtId="9" fontId="5" fillId="6" borderId="38" xfId="1" applyNumberFormat="1" applyFont="1" applyFill="1" applyBorder="1" applyAlignment="1">
      <alignment horizontal="right" vertical="center"/>
    </xf>
    <xf numFmtId="10" fontId="2" fillId="6" borderId="28" xfId="1" applyNumberFormat="1" applyFill="1" applyBorder="1"/>
    <xf numFmtId="9" fontId="6" fillId="6" borderId="26" xfId="2" applyNumberFormat="1" applyFont="1" applyFill="1" applyBorder="1"/>
    <xf numFmtId="10" fontId="2" fillId="6" borderId="30" xfId="1" applyNumberFormat="1" applyFill="1" applyBorder="1"/>
    <xf numFmtId="10" fontId="2" fillId="6" borderId="32" xfId="1" applyNumberFormat="1" applyFill="1" applyBorder="1"/>
    <xf numFmtId="9" fontId="6" fillId="6" borderId="31" xfId="2" applyNumberFormat="1" applyFont="1" applyFill="1" applyBorder="1"/>
    <xf numFmtId="10" fontId="2" fillId="6" borderId="39" xfId="1" applyNumberFormat="1" applyFill="1" applyBorder="1"/>
    <xf numFmtId="9" fontId="6" fillId="6" borderId="34" xfId="2" applyNumberFormat="1" applyFont="1" applyFill="1" applyBorder="1"/>
    <xf numFmtId="9" fontId="2" fillId="6" borderId="30" xfId="1" applyNumberFormat="1" applyFill="1" applyBorder="1"/>
    <xf numFmtId="9" fontId="2" fillId="6" borderId="32" xfId="1" applyNumberFormat="1" applyFill="1" applyBorder="1"/>
    <xf numFmtId="10" fontId="6" fillId="6" borderId="26" xfId="2" applyNumberFormat="1" applyFont="1" applyFill="1" applyBorder="1"/>
    <xf numFmtId="0" fontId="2" fillId="7" borderId="40" xfId="1" applyFill="1" applyBorder="1"/>
    <xf numFmtId="9" fontId="5" fillId="7" borderId="12" xfId="1" applyNumberFormat="1" applyFont="1" applyFill="1" applyBorder="1" applyAlignment="1">
      <alignment horizontal="right" vertical="center"/>
    </xf>
    <xf numFmtId="9" fontId="2" fillId="7" borderId="13" xfId="1" applyNumberFormat="1" applyFill="1" applyBorder="1"/>
    <xf numFmtId="9" fontId="2" fillId="7" borderId="14" xfId="1" applyNumberFormat="1" applyFill="1" applyBorder="1"/>
    <xf numFmtId="9" fontId="5" fillId="7" borderId="11" xfId="1" applyNumberFormat="1" applyFont="1" applyFill="1" applyBorder="1"/>
    <xf numFmtId="9" fontId="2" fillId="7" borderId="10" xfId="1" applyNumberFormat="1" applyFill="1" applyBorder="1"/>
    <xf numFmtId="10" fontId="2" fillId="7" borderId="14" xfId="1" applyNumberFormat="1" applyFill="1" applyBorder="1"/>
    <xf numFmtId="9" fontId="6" fillId="7" borderId="11" xfId="2" applyFont="1" applyFill="1" applyBorder="1"/>
    <xf numFmtId="9" fontId="2" fillId="7" borderId="14" xfId="3" applyFont="1" applyFill="1" applyBorder="1"/>
    <xf numFmtId="9" fontId="5" fillId="7" borderId="11" xfId="3" applyFont="1" applyFill="1" applyBorder="1"/>
    <xf numFmtId="0" fontId="2" fillId="7" borderId="10" xfId="1" applyFill="1" applyBorder="1"/>
    <xf numFmtId="0" fontId="5" fillId="7" borderId="15" xfId="1" applyFont="1" applyFill="1" applyBorder="1"/>
    <xf numFmtId="0" fontId="2" fillId="7" borderId="14" xfId="1" applyFill="1" applyBorder="1"/>
    <xf numFmtId="0" fontId="5" fillId="7" borderId="11" xfId="1" applyFont="1" applyFill="1" applyBorder="1"/>
    <xf numFmtId="0" fontId="2" fillId="8" borderId="42" xfId="1" applyFill="1" applyBorder="1" applyAlignment="1">
      <alignment horizontal="center" vertical="center"/>
    </xf>
    <xf numFmtId="0" fontId="2" fillId="8" borderId="43" xfId="1" applyFill="1" applyBorder="1"/>
    <xf numFmtId="9" fontId="5" fillId="8" borderId="44" xfId="1" applyNumberFormat="1" applyFont="1" applyFill="1" applyBorder="1" applyAlignment="1">
      <alignment horizontal="right" vertical="center"/>
    </xf>
    <xf numFmtId="0" fontId="2" fillId="8" borderId="45" xfId="1" applyFill="1" applyBorder="1"/>
    <xf numFmtId="0" fontId="2" fillId="8" borderId="46" xfId="1" applyFill="1" applyBorder="1"/>
    <xf numFmtId="0" fontId="5" fillId="8" borderId="43" xfId="1" applyFont="1" applyFill="1" applyBorder="1"/>
    <xf numFmtId="0" fontId="2" fillId="8" borderId="42" xfId="1" applyFill="1" applyBorder="1"/>
    <xf numFmtId="0" fontId="5" fillId="8" borderId="47" xfId="1" applyFont="1" applyFill="1" applyBorder="1"/>
    <xf numFmtId="9" fontId="2" fillId="8" borderId="48" xfId="1" applyNumberFormat="1" applyFill="1" applyBorder="1"/>
    <xf numFmtId="10" fontId="2" fillId="8" borderId="49" xfId="1" applyNumberFormat="1" applyFill="1" applyBorder="1"/>
    <xf numFmtId="9" fontId="6" fillId="6" borderId="50" xfId="2" applyFont="1" applyFill="1" applyBorder="1"/>
    <xf numFmtId="9" fontId="2" fillId="8" borderId="45" xfId="1" applyNumberFormat="1" applyFill="1" applyBorder="1"/>
    <xf numFmtId="10" fontId="2" fillId="8" borderId="46" xfId="1" applyNumberFormat="1" applyFill="1" applyBorder="1"/>
    <xf numFmtId="10" fontId="5" fillId="8" borderId="43" xfId="1" applyNumberFormat="1" applyFont="1" applyFill="1" applyBorder="1"/>
    <xf numFmtId="9" fontId="2" fillId="8" borderId="51" xfId="1" applyNumberFormat="1" applyFill="1" applyBorder="1"/>
    <xf numFmtId="10" fontId="2" fillId="8" borderId="52" xfId="1" applyNumberFormat="1" applyFill="1" applyBorder="1"/>
    <xf numFmtId="9" fontId="6" fillId="6" borderId="11" xfId="2" applyFont="1" applyFill="1" applyBorder="1"/>
    <xf numFmtId="0" fontId="2" fillId="6" borderId="37" xfId="1" applyFill="1" applyBorder="1"/>
    <xf numFmtId="164" fontId="5" fillId="6" borderId="54" xfId="1" applyNumberFormat="1" applyFont="1" applyFill="1" applyBorder="1" applyAlignment="1">
      <alignment horizontal="right" vertical="center"/>
    </xf>
    <xf numFmtId="164" fontId="2" fillId="6" borderId="55" xfId="1" applyNumberFormat="1" applyFill="1" applyBorder="1"/>
    <xf numFmtId="164" fontId="2" fillId="6" borderId="56" xfId="1" applyNumberFormat="1" applyFill="1" applyBorder="1"/>
    <xf numFmtId="9" fontId="6" fillId="6" borderId="57" xfId="2" applyFont="1" applyFill="1" applyBorder="1"/>
    <xf numFmtId="9" fontId="6" fillId="6" borderId="54" xfId="2" applyFont="1" applyFill="1" applyBorder="1"/>
    <xf numFmtId="164" fontId="2" fillId="6" borderId="58" xfId="1" applyNumberFormat="1" applyFill="1" applyBorder="1"/>
    <xf numFmtId="164" fontId="2" fillId="6" borderId="3" xfId="1" applyNumberFormat="1" applyFill="1" applyBorder="1"/>
    <xf numFmtId="9" fontId="6" fillId="6" borderId="59" xfId="2" applyFont="1" applyFill="1" applyBorder="1"/>
    <xf numFmtId="0" fontId="2" fillId="6" borderId="11" xfId="1" applyFill="1" applyBorder="1"/>
    <xf numFmtId="165" fontId="5" fillId="6" borderId="61" xfId="1" applyNumberFormat="1" applyFont="1" applyFill="1" applyBorder="1" applyAlignment="1">
      <alignment horizontal="right" vertical="center"/>
    </xf>
    <xf numFmtId="10" fontId="2" fillId="6" borderId="13" xfId="1" applyNumberFormat="1" applyFill="1" applyBorder="1"/>
    <xf numFmtId="10" fontId="2" fillId="6" borderId="62" xfId="1" applyNumberFormat="1" applyFill="1" applyBorder="1"/>
    <xf numFmtId="10" fontId="2" fillId="6" borderId="14" xfId="1" applyNumberFormat="1" applyFill="1" applyBorder="1"/>
    <xf numFmtId="10" fontId="2" fillId="6" borderId="25" xfId="1" applyNumberFormat="1" applyFill="1" applyBorder="1"/>
    <xf numFmtId="9" fontId="6" fillId="6" borderId="15" xfId="2" applyFont="1" applyFill="1" applyBorder="1"/>
    <xf numFmtId="10" fontId="2" fillId="6" borderId="63" xfId="1" applyNumberFormat="1" applyFill="1" applyBorder="1"/>
    <xf numFmtId="10" fontId="2" fillId="6" borderId="64" xfId="1" applyNumberFormat="1" applyFill="1" applyBorder="1"/>
    <xf numFmtId="10" fontId="2" fillId="6" borderId="65" xfId="1" applyNumberFormat="1" applyFill="1" applyBorder="1"/>
    <xf numFmtId="0" fontId="8" fillId="7" borderId="17" xfId="1" applyFont="1" applyFill="1" applyBorder="1" applyAlignment="1">
      <alignment vertical="center"/>
    </xf>
    <xf numFmtId="164" fontId="9" fillId="7" borderId="67" xfId="1" applyNumberFormat="1" applyFont="1" applyFill="1" applyBorder="1" applyAlignment="1">
      <alignment horizontal="right" vertical="center"/>
    </xf>
    <xf numFmtId="164" fontId="8" fillId="7" borderId="19" xfId="1" applyNumberFormat="1" applyFont="1" applyFill="1" applyBorder="1"/>
    <xf numFmtId="164" fontId="8" fillId="7" borderId="20" xfId="1" applyNumberFormat="1" applyFont="1" applyFill="1" applyBorder="1"/>
    <xf numFmtId="9" fontId="6" fillId="7" borderId="17" xfId="2" applyFont="1" applyFill="1" applyBorder="1"/>
    <xf numFmtId="164" fontId="8" fillId="7" borderId="21" xfId="1" applyNumberFormat="1" applyFont="1" applyFill="1" applyBorder="1"/>
    <xf numFmtId="9" fontId="6" fillId="7" borderId="22" xfId="2" applyFont="1" applyFill="1" applyBorder="1"/>
    <xf numFmtId="164" fontId="8" fillId="7" borderId="58" xfId="1" applyNumberFormat="1" applyFont="1" applyFill="1" applyBorder="1"/>
    <xf numFmtId="164" fontId="8" fillId="7" borderId="56" xfId="1" applyNumberFormat="1" applyFont="1" applyFill="1" applyBorder="1"/>
    <xf numFmtId="9" fontId="6" fillId="7" borderId="37" xfId="2" applyFont="1" applyFill="1" applyBorder="1"/>
    <xf numFmtId="0" fontId="8" fillId="7" borderId="26" xfId="1" applyFont="1" applyFill="1" applyBorder="1" applyAlignment="1">
      <alignment vertical="center"/>
    </xf>
    <xf numFmtId="164" fontId="9" fillId="7" borderId="69" xfId="1" applyNumberFormat="1" applyFont="1" applyFill="1" applyBorder="1" applyAlignment="1">
      <alignment horizontal="right" vertical="center"/>
    </xf>
    <xf numFmtId="164" fontId="8" fillId="7" borderId="28" xfId="1" applyNumberFormat="1" applyFont="1" applyFill="1" applyBorder="1"/>
    <xf numFmtId="164" fontId="8" fillId="7" borderId="29" xfId="1" applyNumberFormat="1" applyFont="1" applyFill="1" applyBorder="1"/>
    <xf numFmtId="164" fontId="8" fillId="7" borderId="30" xfId="1" applyNumberFormat="1" applyFont="1" applyFill="1" applyBorder="1"/>
    <xf numFmtId="9" fontId="6" fillId="7" borderId="31" xfId="2" applyFont="1" applyFill="1" applyBorder="1"/>
    <xf numFmtId="0" fontId="8" fillId="7" borderId="72" xfId="1" applyFont="1" applyFill="1" applyBorder="1" applyAlignment="1">
      <alignment vertical="center"/>
    </xf>
    <xf numFmtId="164" fontId="9" fillId="7" borderId="73" xfId="1" applyNumberFormat="1" applyFont="1" applyFill="1" applyBorder="1" applyAlignment="1">
      <alignment horizontal="right" vertical="center"/>
    </xf>
    <xf numFmtId="164" fontId="8" fillId="7" borderId="74" xfId="1" applyNumberFormat="1" applyFont="1" applyFill="1" applyBorder="1"/>
    <xf numFmtId="164" fontId="8" fillId="7" borderId="75" xfId="1" applyNumberFormat="1" applyFont="1" applyFill="1" applyBorder="1"/>
    <xf numFmtId="9" fontId="6" fillId="7" borderId="72" xfId="2" applyFont="1" applyFill="1" applyBorder="1"/>
    <xf numFmtId="164" fontId="8" fillId="7" borderId="76" xfId="1" applyNumberFormat="1" applyFont="1" applyFill="1" applyBorder="1"/>
    <xf numFmtId="9" fontId="6" fillId="7" borderId="77" xfId="2" applyFont="1" applyFill="1" applyBorder="1"/>
    <xf numFmtId="0" fontId="8" fillId="9" borderId="37" xfId="1" applyFont="1" applyFill="1" applyBorder="1" applyAlignment="1">
      <alignment vertical="center"/>
    </xf>
    <xf numFmtId="164" fontId="9" fillId="9" borderId="54" xfId="1" applyNumberFormat="1" applyFont="1" applyFill="1" applyBorder="1" applyAlignment="1">
      <alignment horizontal="right" vertical="center"/>
    </xf>
    <xf numFmtId="164" fontId="8" fillId="9" borderId="58" xfId="1" applyNumberFormat="1" applyFont="1" applyFill="1" applyBorder="1"/>
    <xf numFmtId="164" fontId="8" fillId="9" borderId="56" xfId="1" applyNumberFormat="1" applyFont="1" applyFill="1" applyBorder="1"/>
    <xf numFmtId="9" fontId="6" fillId="9" borderId="37" xfId="2" applyFont="1" applyFill="1" applyBorder="1"/>
    <xf numFmtId="9" fontId="6" fillId="9" borderId="78" xfId="2" applyFont="1" applyFill="1" applyBorder="1"/>
    <xf numFmtId="164" fontId="8" fillId="9" borderId="32" xfId="1" applyNumberFormat="1" applyFont="1" applyFill="1" applyBorder="1"/>
    <xf numFmtId="0" fontId="8" fillId="9" borderId="26" xfId="1" applyFont="1" applyFill="1" applyBorder="1" applyAlignment="1">
      <alignment vertical="center"/>
    </xf>
    <xf numFmtId="9" fontId="9" fillId="9" borderId="69" xfId="1" applyNumberFormat="1" applyFont="1" applyFill="1" applyBorder="1" applyAlignment="1">
      <alignment horizontal="right" vertical="center"/>
    </xf>
    <xf numFmtId="10" fontId="8" fillId="9" borderId="28" xfId="1" applyNumberFormat="1" applyFont="1" applyFill="1" applyBorder="1"/>
    <xf numFmtId="10" fontId="8" fillId="9" borderId="29" xfId="1" applyNumberFormat="1" applyFont="1" applyFill="1" applyBorder="1"/>
    <xf numFmtId="9" fontId="6" fillId="9" borderId="26" xfId="2" applyFont="1" applyFill="1" applyBorder="1"/>
    <xf numFmtId="9" fontId="6" fillId="9" borderId="31" xfId="2" applyFont="1" applyFill="1" applyBorder="1"/>
    <xf numFmtId="9" fontId="8" fillId="9" borderId="28" xfId="1" applyNumberFormat="1" applyFont="1" applyFill="1" applyBorder="1"/>
    <xf numFmtId="165" fontId="8" fillId="9" borderId="29" xfId="1" applyNumberFormat="1" applyFont="1" applyFill="1" applyBorder="1"/>
    <xf numFmtId="164" fontId="9" fillId="9" borderId="69" xfId="1" applyNumberFormat="1" applyFont="1" applyFill="1" applyBorder="1" applyAlignment="1">
      <alignment horizontal="right" vertical="center"/>
    </xf>
    <xf numFmtId="164" fontId="8" fillId="9" borderId="28" xfId="1" applyNumberFormat="1" applyFont="1" applyFill="1" applyBorder="1"/>
    <xf numFmtId="164" fontId="8" fillId="9" borderId="29" xfId="1" applyNumberFormat="1" applyFont="1" applyFill="1" applyBorder="1"/>
    <xf numFmtId="164" fontId="8" fillId="9" borderId="30" xfId="1" applyNumberFormat="1" applyFont="1" applyFill="1" applyBorder="1"/>
    <xf numFmtId="0" fontId="8" fillId="9" borderId="11" xfId="1" applyFont="1" applyFill="1" applyBorder="1" applyAlignment="1">
      <alignment vertical="center"/>
    </xf>
    <xf numFmtId="164" fontId="9" fillId="9" borderId="61" xfId="1" applyNumberFormat="1" applyFont="1" applyFill="1" applyBorder="1" applyAlignment="1">
      <alignment horizontal="right" vertical="center"/>
    </xf>
    <xf numFmtId="164" fontId="8" fillId="9" borderId="13" xfId="1" applyNumberFormat="1" applyFont="1" applyFill="1" applyBorder="1"/>
    <xf numFmtId="164" fontId="8" fillId="9" borderId="14" xfId="1" applyNumberFormat="1" applyFont="1" applyFill="1" applyBorder="1"/>
    <xf numFmtId="9" fontId="6" fillId="9" borderId="11" xfId="2" applyFont="1" applyFill="1" applyBorder="1"/>
    <xf numFmtId="164" fontId="8" fillId="9" borderId="10" xfId="1" applyNumberFormat="1" applyFont="1" applyFill="1" applyBorder="1"/>
    <xf numFmtId="9" fontId="6" fillId="9" borderId="15" xfId="2" applyFont="1" applyFill="1" applyBorder="1"/>
    <xf numFmtId="0" fontId="2" fillId="5" borderId="17" xfId="1" applyFill="1" applyBorder="1" applyAlignment="1">
      <alignment wrapText="1"/>
    </xf>
    <xf numFmtId="164" fontId="5" fillId="5" borderId="67" xfId="1" applyNumberFormat="1" applyFont="1" applyFill="1" applyBorder="1" applyAlignment="1">
      <alignment horizontal="right" vertical="center" wrapText="1"/>
    </xf>
    <xf numFmtId="0" fontId="2" fillId="5" borderId="19" xfId="1" applyFill="1" applyBorder="1"/>
    <xf numFmtId="0" fontId="2" fillId="5" borderId="20" xfId="1" applyFill="1" applyBorder="1"/>
    <xf numFmtId="9" fontId="6" fillId="5" borderId="17" xfId="2" applyFont="1" applyFill="1" applyBorder="1"/>
    <xf numFmtId="0" fontId="2" fillId="5" borderId="21" xfId="1" applyFill="1" applyBorder="1"/>
    <xf numFmtId="9" fontId="6" fillId="5" borderId="22" xfId="2" applyFont="1" applyFill="1" applyBorder="1"/>
    <xf numFmtId="0" fontId="2" fillId="5" borderId="26" xfId="1" applyFill="1" applyBorder="1"/>
    <xf numFmtId="9" fontId="5" fillId="5" borderId="69" xfId="1" applyNumberFormat="1" applyFont="1" applyFill="1" applyBorder="1" applyAlignment="1">
      <alignment horizontal="right" vertical="center"/>
    </xf>
    <xf numFmtId="9" fontId="2" fillId="5" borderId="28" xfId="1" applyNumberFormat="1" applyFill="1" applyBorder="1"/>
    <xf numFmtId="10" fontId="2" fillId="5" borderId="29" xfId="1" applyNumberFormat="1" applyFill="1" applyBorder="1"/>
    <xf numFmtId="9" fontId="5" fillId="5" borderId="26" xfId="1" applyNumberFormat="1" applyFont="1" applyFill="1" applyBorder="1"/>
    <xf numFmtId="10" fontId="2" fillId="5" borderId="30" xfId="1" applyNumberFormat="1" applyFill="1" applyBorder="1"/>
    <xf numFmtId="9" fontId="5" fillId="5" borderId="31" xfId="1" applyNumberFormat="1" applyFont="1" applyFill="1" applyBorder="1"/>
    <xf numFmtId="165" fontId="2" fillId="5" borderId="29" xfId="1" applyNumberFormat="1" applyFill="1" applyBorder="1"/>
    <xf numFmtId="165" fontId="2" fillId="5" borderId="30" xfId="1" applyNumberFormat="1" applyFill="1" applyBorder="1"/>
    <xf numFmtId="0" fontId="2" fillId="5" borderId="11" xfId="1" applyFill="1" applyBorder="1"/>
    <xf numFmtId="164" fontId="5" fillId="5" borderId="73" xfId="1" applyNumberFormat="1" applyFont="1" applyFill="1" applyBorder="1" applyAlignment="1">
      <alignment horizontal="right" vertical="center"/>
    </xf>
    <xf numFmtId="0" fontId="2" fillId="5" borderId="74" xfId="1" applyFill="1" applyBorder="1"/>
    <xf numFmtId="0" fontId="2" fillId="5" borderId="75" xfId="1" applyFill="1" applyBorder="1"/>
    <xf numFmtId="0" fontId="5" fillId="5" borderId="72" xfId="1" applyFont="1" applyFill="1" applyBorder="1"/>
    <xf numFmtId="0" fontId="2" fillId="5" borderId="76" xfId="1" applyFill="1" applyBorder="1"/>
    <xf numFmtId="0" fontId="5" fillId="5" borderId="77" xfId="1" applyFont="1" applyFill="1" applyBorder="1"/>
    <xf numFmtId="0" fontId="2" fillId="9" borderId="4" xfId="1" applyFill="1" applyBorder="1"/>
    <xf numFmtId="9" fontId="5" fillId="9" borderId="54" xfId="1" applyNumberFormat="1" applyFont="1" applyFill="1" applyBorder="1" applyAlignment="1">
      <alignment horizontal="right" vertical="center"/>
    </xf>
    <xf numFmtId="10" fontId="2" fillId="9" borderId="58" xfId="1" applyNumberFormat="1" applyFill="1" applyBorder="1"/>
    <xf numFmtId="10" fontId="2" fillId="9" borderId="56" xfId="1" applyNumberFormat="1" applyFill="1" applyBorder="1"/>
    <xf numFmtId="10" fontId="6" fillId="9" borderId="37" xfId="2" applyNumberFormat="1" applyFont="1" applyFill="1" applyBorder="1"/>
    <xf numFmtId="10" fontId="2" fillId="9" borderId="32" xfId="1" applyNumberFormat="1" applyFill="1" applyBorder="1"/>
    <xf numFmtId="10" fontId="6" fillId="9" borderId="78" xfId="2" applyNumberFormat="1" applyFont="1" applyFill="1" applyBorder="1"/>
    <xf numFmtId="0" fontId="2" fillId="9" borderId="26" xfId="1" applyFill="1" applyBorder="1"/>
    <xf numFmtId="9" fontId="5" fillId="9" borderId="69" xfId="1" applyNumberFormat="1" applyFont="1" applyFill="1" applyBorder="1" applyAlignment="1">
      <alignment horizontal="right" vertical="center"/>
    </xf>
    <xf numFmtId="0" fontId="2" fillId="9" borderId="28" xfId="1" applyFill="1" applyBorder="1"/>
    <xf numFmtId="0" fontId="2" fillId="9" borderId="29" xfId="1" applyFill="1" applyBorder="1"/>
    <xf numFmtId="0" fontId="5" fillId="9" borderId="26" xfId="1" applyFont="1" applyFill="1" applyBorder="1"/>
    <xf numFmtId="0" fontId="5" fillId="9" borderId="31" xfId="1" applyFont="1" applyFill="1" applyBorder="1"/>
    <xf numFmtId="10" fontId="2" fillId="9" borderId="28" xfId="1" applyNumberFormat="1" applyFill="1" applyBorder="1"/>
    <xf numFmtId="10" fontId="2" fillId="9" borderId="29" xfId="1" applyNumberFormat="1" applyFill="1" applyBorder="1"/>
    <xf numFmtId="10" fontId="5" fillId="9" borderId="31" xfId="1" applyNumberFormat="1" applyFont="1" applyFill="1" applyBorder="1"/>
    <xf numFmtId="10" fontId="5" fillId="9" borderId="26" xfId="1" applyNumberFormat="1" applyFont="1" applyFill="1" applyBorder="1"/>
    <xf numFmtId="0" fontId="2" fillId="9" borderId="50" xfId="1" applyFill="1" applyBorder="1"/>
    <xf numFmtId="164" fontId="5" fillId="9" borderId="61" xfId="1" applyNumberFormat="1" applyFont="1" applyFill="1" applyBorder="1" applyAlignment="1">
      <alignment horizontal="right" vertical="center"/>
    </xf>
    <xf numFmtId="0" fontId="2" fillId="9" borderId="13" xfId="1" applyFill="1" applyBorder="1"/>
    <xf numFmtId="0" fontId="2" fillId="9" borderId="14" xfId="1" applyFill="1" applyBorder="1"/>
    <xf numFmtId="0" fontId="2" fillId="9" borderId="10" xfId="1" applyFill="1" applyBorder="1"/>
    <xf numFmtId="0" fontId="5" fillId="9" borderId="15" xfId="1" applyFont="1" applyFill="1" applyBorder="1"/>
    <xf numFmtId="0" fontId="5" fillId="9" borderId="11" xfId="1" applyFont="1" applyFill="1" applyBorder="1"/>
    <xf numFmtId="0" fontId="2" fillId="7" borderId="37" xfId="1" applyFill="1" applyBorder="1"/>
    <xf numFmtId="165" fontId="5" fillId="7" borderId="67" xfId="1" applyNumberFormat="1" applyFont="1" applyFill="1" applyBorder="1" applyAlignment="1">
      <alignment horizontal="right" vertical="center"/>
    </xf>
    <xf numFmtId="10" fontId="2" fillId="7" borderId="19" xfId="1" applyNumberFormat="1" applyFill="1" applyBorder="1"/>
    <xf numFmtId="10" fontId="2" fillId="7" borderId="20" xfId="1" applyNumberFormat="1" applyFill="1" applyBorder="1"/>
    <xf numFmtId="10" fontId="6" fillId="7" borderId="17" xfId="2" applyNumberFormat="1" applyFont="1" applyFill="1" applyBorder="1"/>
    <xf numFmtId="10" fontId="2" fillId="7" borderId="21" xfId="1" applyNumberFormat="1" applyFill="1" applyBorder="1"/>
    <xf numFmtId="10" fontId="6" fillId="7" borderId="22" xfId="2" applyNumberFormat="1" applyFont="1" applyFill="1" applyBorder="1"/>
    <xf numFmtId="0" fontId="2" fillId="7" borderId="26" xfId="1" applyFill="1" applyBorder="1"/>
    <xf numFmtId="164" fontId="5" fillId="7" borderId="69" xfId="1" applyNumberFormat="1" applyFont="1" applyFill="1" applyBorder="1" applyAlignment="1">
      <alignment horizontal="right" vertical="center"/>
    </xf>
    <xf numFmtId="0" fontId="2" fillId="7" borderId="30" xfId="1" applyFill="1" applyBorder="1"/>
    <xf numFmtId="0" fontId="5" fillId="7" borderId="31" xfId="1" applyFont="1" applyFill="1" applyBorder="1"/>
    <xf numFmtId="0" fontId="2" fillId="6" borderId="76" xfId="1" applyFill="1" applyBorder="1" applyAlignment="1">
      <alignment horizontal="center" vertical="center"/>
    </xf>
    <xf numFmtId="0" fontId="2" fillId="6" borderId="72" xfId="1" applyFill="1" applyBorder="1"/>
    <xf numFmtId="165" fontId="5" fillId="6" borderId="73" xfId="1" applyNumberFormat="1" applyFont="1" applyFill="1" applyBorder="1" applyAlignment="1">
      <alignment horizontal="right" vertical="center"/>
    </xf>
    <xf numFmtId="10" fontId="2" fillId="6" borderId="85" xfId="1" applyNumberFormat="1" applyFill="1" applyBorder="1"/>
    <xf numFmtId="10" fontId="2" fillId="6" borderId="86" xfId="1" applyNumberFormat="1" applyFill="1" applyBorder="1"/>
    <xf numFmtId="10" fontId="6" fillId="6" borderId="50" xfId="2" applyNumberFormat="1" applyFont="1" applyFill="1" applyBorder="1"/>
    <xf numFmtId="10" fontId="2" fillId="6" borderId="87" xfId="1" applyNumberFormat="1" applyFill="1" applyBorder="1"/>
    <xf numFmtId="10" fontId="6" fillId="6" borderId="88" xfId="2" applyNumberFormat="1" applyFont="1" applyFill="1" applyBorder="1"/>
    <xf numFmtId="0" fontId="2" fillId="4" borderId="0" xfId="1" applyFill="1" applyBorder="1" applyAlignment="1">
      <alignment vertical="center"/>
    </xf>
    <xf numFmtId="164" fontId="2" fillId="4" borderId="0" xfId="1" applyNumberFormat="1" applyFill="1" applyBorder="1" applyAlignment="1">
      <alignment vertical="center"/>
    </xf>
    <xf numFmtId="0" fontId="2" fillId="2" borderId="0" xfId="1" applyFill="1" applyBorder="1" applyAlignment="1">
      <alignment vertical="center"/>
    </xf>
    <xf numFmtId="164" fontId="2" fillId="2" borderId="0" xfId="1" applyNumberFormat="1" applyFill="1" applyBorder="1" applyAlignment="1">
      <alignment vertical="center"/>
    </xf>
    <xf numFmtId="0" fontId="2" fillId="2" borderId="0" xfId="1" applyFill="1"/>
    <xf numFmtId="0" fontId="2" fillId="0" borderId="0" xfId="1" applyBorder="1"/>
    <xf numFmtId="0" fontId="2" fillId="0" borderId="0" xfId="1"/>
    <xf numFmtId="0" fontId="2" fillId="0" borderId="0" xfId="1" applyBorder="1" applyAlignment="1">
      <alignment vertical="center"/>
    </xf>
    <xf numFmtId="164" fontId="2" fillId="0" borderId="0" xfId="1" applyNumberFormat="1" applyBorder="1" applyAlignment="1">
      <alignment vertical="center"/>
    </xf>
    <xf numFmtId="0" fontId="4" fillId="3" borderId="92" xfId="1" applyFont="1" applyFill="1" applyBorder="1"/>
    <xf numFmtId="0" fontId="4" fillId="3" borderId="93" xfId="1" applyFont="1" applyFill="1" applyBorder="1"/>
    <xf numFmtId="164" fontId="5" fillId="6" borderId="23" xfId="1" applyNumberFormat="1" applyFont="1" applyFill="1" applyBorder="1" applyAlignment="1">
      <alignment horizontal="right" vertical="center"/>
    </xf>
    <xf numFmtId="164" fontId="5" fillId="6" borderId="39" xfId="1" applyNumberFormat="1" applyFont="1" applyFill="1" applyBorder="1" applyAlignment="1">
      <alignment horizontal="right" vertical="center"/>
    </xf>
    <xf numFmtId="9" fontId="5" fillId="6" borderId="39" xfId="1" applyNumberFormat="1" applyFont="1" applyFill="1" applyBorder="1" applyAlignment="1">
      <alignment horizontal="right" vertical="center"/>
    </xf>
    <xf numFmtId="9" fontId="5" fillId="7" borderId="39" xfId="1" applyNumberFormat="1" applyFont="1" applyFill="1" applyBorder="1" applyAlignment="1">
      <alignment horizontal="right" vertical="center"/>
    </xf>
    <xf numFmtId="9" fontId="5" fillId="7" borderId="39" xfId="3" applyFont="1" applyFill="1" applyBorder="1" applyAlignment="1">
      <alignment horizontal="right" vertical="center"/>
    </xf>
    <xf numFmtId="9" fontId="5" fillId="6" borderId="55" xfId="1" applyNumberFormat="1" applyFont="1" applyFill="1" applyBorder="1" applyAlignment="1">
      <alignment horizontal="right" vertical="center"/>
    </xf>
    <xf numFmtId="9" fontId="5" fillId="7" borderId="95" xfId="1" applyNumberFormat="1" applyFont="1" applyFill="1" applyBorder="1" applyAlignment="1">
      <alignment horizontal="right" vertical="center"/>
    </xf>
    <xf numFmtId="9" fontId="5" fillId="8" borderId="98" xfId="1" applyNumberFormat="1" applyFont="1" applyFill="1" applyBorder="1" applyAlignment="1">
      <alignment horizontal="right" vertical="center"/>
    </xf>
    <xf numFmtId="164" fontId="2" fillId="6" borderId="91" xfId="1" applyNumberFormat="1" applyFill="1" applyBorder="1"/>
    <xf numFmtId="9" fontId="6" fillId="6" borderId="89" xfId="2" applyFont="1" applyFill="1" applyBorder="1"/>
    <xf numFmtId="164" fontId="2" fillId="6" borderId="94" xfId="1" applyNumberFormat="1" applyFill="1" applyBorder="1"/>
    <xf numFmtId="9" fontId="6" fillId="6" borderId="90" xfId="2" applyFont="1" applyFill="1" applyBorder="1"/>
    <xf numFmtId="9" fontId="2" fillId="6" borderId="94" xfId="1" applyNumberFormat="1" applyFill="1" applyBorder="1"/>
    <xf numFmtId="9" fontId="2" fillId="7" borderId="94" xfId="1" applyNumberFormat="1" applyFill="1" applyBorder="1"/>
    <xf numFmtId="9" fontId="5" fillId="7" borderId="90" xfId="1" applyNumberFormat="1" applyFont="1" applyFill="1" applyBorder="1"/>
    <xf numFmtId="9" fontId="2" fillId="7" borderId="92" xfId="1" applyNumberFormat="1" applyFill="1" applyBorder="1"/>
    <xf numFmtId="0" fontId="5" fillId="7" borderId="93" xfId="1" applyFont="1" applyFill="1" applyBorder="1"/>
    <xf numFmtId="9" fontId="2" fillId="8" borderId="99" xfId="1" applyNumberFormat="1" applyFill="1" applyBorder="1"/>
    <xf numFmtId="10" fontId="5" fillId="8" borderId="100" xfId="1" applyNumberFormat="1" applyFont="1" applyFill="1" applyBorder="1"/>
    <xf numFmtId="9" fontId="5" fillId="7" borderId="90" xfId="4" applyFont="1" applyFill="1" applyBorder="1"/>
    <xf numFmtId="9" fontId="5" fillId="7" borderId="90" xfId="3" applyFont="1" applyFill="1" applyBorder="1"/>
    <xf numFmtId="9" fontId="6" fillId="6" borderId="90" xfId="2" applyNumberFormat="1" applyFont="1" applyFill="1" applyBorder="1"/>
    <xf numFmtId="9" fontId="5" fillId="7" borderId="93" xfId="3" applyFont="1" applyFill="1" applyBorder="1"/>
    <xf numFmtId="0" fontId="2" fillId="4" borderId="0" xfId="1" applyFill="1" applyBorder="1" applyAlignment="1">
      <alignment horizontal="center" vertical="center" wrapText="1"/>
    </xf>
    <xf numFmtId="0" fontId="2" fillId="4" borderId="101" xfId="1" applyFill="1" applyBorder="1" applyAlignment="1">
      <alignment horizontal="center" vertical="center"/>
    </xf>
    <xf numFmtId="0" fontId="2" fillId="4" borderId="101" xfId="1" applyFill="1" applyBorder="1"/>
    <xf numFmtId="9" fontId="5" fillId="4" borderId="101" xfId="1" applyNumberFormat="1" applyFont="1" applyFill="1" applyBorder="1" applyAlignment="1">
      <alignment horizontal="right" vertical="center"/>
    </xf>
    <xf numFmtId="9" fontId="2" fillId="4" borderId="101" xfId="1" applyNumberFormat="1" applyFill="1" applyBorder="1"/>
    <xf numFmtId="10" fontId="2" fillId="4" borderId="101" xfId="1" applyNumberFormat="1" applyFill="1" applyBorder="1"/>
    <xf numFmtId="10" fontId="5" fillId="4" borderId="101" xfId="1" applyNumberFormat="1" applyFont="1" applyFill="1" applyBorder="1"/>
    <xf numFmtId="10" fontId="0" fillId="4" borderId="0" xfId="0" applyNumberFormat="1" applyFill="1" applyBorder="1" applyAlignment="1">
      <alignment vertical="center" wrapText="1"/>
    </xf>
    <xf numFmtId="9" fontId="6" fillId="4" borderId="0" xfId="2" applyFont="1" applyFill="1" applyBorder="1"/>
    <xf numFmtId="0" fontId="0" fillId="4" borderId="0" xfId="0" applyFill="1"/>
    <xf numFmtId="0" fontId="0" fillId="4" borderId="0" xfId="0" applyFill="1" applyBorder="1"/>
    <xf numFmtId="9" fontId="2" fillId="4" borderId="0" xfId="1" applyNumberFormat="1" applyFill="1" applyBorder="1"/>
    <xf numFmtId="10" fontId="2" fillId="4" borderId="0" xfId="1" applyNumberFormat="1" applyFill="1" applyBorder="1"/>
    <xf numFmtId="0" fontId="0" fillId="4" borderId="0" xfId="0" applyFill="1" applyAlignment="1">
      <alignment vertical="center" wrapText="1"/>
    </xf>
    <xf numFmtId="0" fontId="2" fillId="9" borderId="41" xfId="1" applyFill="1" applyBorder="1" applyAlignment="1">
      <alignment vertical="center"/>
    </xf>
    <xf numFmtId="164" fontId="3" fillId="3" borderId="118" xfId="1" applyNumberFormat="1" applyFont="1" applyFill="1" applyBorder="1" applyAlignment="1">
      <alignment horizontal="center" vertical="center"/>
    </xf>
    <xf numFmtId="164" fontId="4" fillId="3" borderId="119" xfId="1" applyNumberFormat="1" applyFont="1" applyFill="1" applyBorder="1" applyAlignment="1">
      <alignment horizontal="center" vertical="center"/>
    </xf>
    <xf numFmtId="0" fontId="4" fillId="3" borderId="96" xfId="1" applyFont="1" applyFill="1" applyBorder="1" applyAlignment="1"/>
    <xf numFmtId="0" fontId="4" fillId="3" borderId="125" xfId="1" applyFont="1" applyFill="1" applyBorder="1"/>
    <xf numFmtId="0" fontId="2" fillId="9" borderId="66" xfId="1" applyFill="1" applyBorder="1" applyAlignment="1">
      <alignment vertical="center"/>
    </xf>
    <xf numFmtId="0" fontId="2" fillId="4" borderId="0" xfId="1" applyFill="1" applyBorder="1" applyAlignment="1">
      <alignment horizontal="center" vertical="center"/>
    </xf>
    <xf numFmtId="9" fontId="5" fillId="4" borderId="0" xfId="1" applyNumberFormat="1" applyFont="1" applyFill="1" applyBorder="1" applyAlignment="1">
      <alignment horizontal="right" vertical="center"/>
    </xf>
    <xf numFmtId="10" fontId="5" fillId="4" borderId="0" xfId="1" applyNumberFormat="1" applyFont="1" applyFill="1" applyBorder="1"/>
    <xf numFmtId="0" fontId="0" fillId="4" borderId="0" xfId="0" applyFill="1" applyAlignment="1"/>
    <xf numFmtId="0" fontId="0" fillId="4" borderId="0" xfId="0" applyFill="1" applyAlignment="1">
      <alignment vertical="center"/>
    </xf>
    <xf numFmtId="14" fontId="0" fillId="4" borderId="0" xfId="0" applyNumberForma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28" xfId="0" applyFill="1" applyBorder="1" applyAlignment="1">
      <alignment vertical="center"/>
    </xf>
    <xf numFmtId="14" fontId="0" fillId="4" borderId="129" xfId="0" applyNumberFormat="1" applyFill="1" applyBorder="1" applyAlignment="1">
      <alignment vertical="center"/>
    </xf>
    <xf numFmtId="0" fontId="0" fillId="4" borderId="130" xfId="0" applyFill="1" applyBorder="1" applyAlignment="1">
      <alignment vertical="center"/>
    </xf>
    <xf numFmtId="14" fontId="0" fillId="4" borderId="131" xfId="0" applyNumberFormat="1" applyFill="1" applyBorder="1" applyAlignment="1">
      <alignment vertical="center"/>
    </xf>
    <xf numFmtId="14" fontId="0" fillId="4" borderId="132" xfId="0" applyNumberFormat="1" applyFill="1" applyBorder="1" applyAlignment="1">
      <alignment vertical="center"/>
    </xf>
    <xf numFmtId="0" fontId="0" fillId="4" borderId="133" xfId="0" applyFill="1" applyBorder="1" applyAlignment="1">
      <alignment vertical="center"/>
    </xf>
    <xf numFmtId="0" fontId="4" fillId="3" borderId="96" xfId="1" applyFont="1" applyFill="1" applyBorder="1"/>
    <xf numFmtId="0" fontId="0" fillId="4" borderId="0" xfId="0" applyFill="1" applyBorder="1" applyAlignment="1">
      <alignment vertical="top" wrapText="1"/>
    </xf>
    <xf numFmtId="0" fontId="0" fillId="4" borderId="127" xfId="0" applyFill="1" applyBorder="1"/>
    <xf numFmtId="0" fontId="0" fillId="4" borderId="128" xfId="0" applyFill="1" applyBorder="1"/>
    <xf numFmtId="0" fontId="0" fillId="4" borderId="133" xfId="0" applyFill="1" applyBorder="1"/>
    <xf numFmtId="0" fontId="0" fillId="4" borderId="127" xfId="0" applyFill="1" applyBorder="1" applyAlignment="1">
      <alignment horizontal="left" vertical="center" wrapText="1"/>
    </xf>
    <xf numFmtId="0" fontId="0" fillId="4" borderId="0" xfId="0" applyFill="1" applyAlignment="1">
      <alignment vertical="top"/>
    </xf>
    <xf numFmtId="0" fontId="0" fillId="4" borderId="0" xfId="0" applyFill="1" applyBorder="1" applyAlignment="1"/>
    <xf numFmtId="0" fontId="10" fillId="0" borderId="130" xfId="0" applyFont="1" applyFill="1" applyBorder="1" applyAlignment="1">
      <alignment vertical="center"/>
    </xf>
    <xf numFmtId="0" fontId="10" fillId="0" borderId="128" xfId="0" applyFont="1" applyFill="1" applyBorder="1" applyAlignment="1">
      <alignment vertical="center"/>
    </xf>
    <xf numFmtId="0" fontId="10" fillId="0" borderId="133" xfId="0" applyFont="1" applyFill="1" applyBorder="1" applyAlignment="1">
      <alignment vertical="center"/>
    </xf>
    <xf numFmtId="0" fontId="0" fillId="0" borderId="127" xfId="0" applyFill="1" applyBorder="1" applyAlignment="1">
      <alignment vertical="center"/>
    </xf>
    <xf numFmtId="0" fontId="0" fillId="0" borderId="128" xfId="0" applyFill="1" applyBorder="1" applyAlignment="1">
      <alignment vertical="center"/>
    </xf>
    <xf numFmtId="0" fontId="0" fillId="0" borderId="133" xfId="0" applyFill="1" applyBorder="1" applyAlignment="1">
      <alignment vertical="center"/>
    </xf>
    <xf numFmtId="0" fontId="4" fillId="3" borderId="1" xfId="1" applyFont="1" applyFill="1" applyBorder="1"/>
    <xf numFmtId="0" fontId="2" fillId="9" borderId="1" xfId="1" applyFill="1" applyBorder="1"/>
    <xf numFmtId="164" fontId="3" fillId="3" borderId="1" xfId="1" applyNumberFormat="1" applyFont="1" applyFill="1" applyBorder="1" applyAlignment="1">
      <alignment horizontal="center" vertical="center"/>
    </xf>
    <xf numFmtId="164" fontId="4" fillId="3" borderId="1" xfId="1" applyNumberFormat="1" applyFont="1" applyFill="1" applyBorder="1" applyAlignment="1">
      <alignment horizontal="center" vertical="center"/>
    </xf>
    <xf numFmtId="9" fontId="5" fillId="9" borderId="1" xfId="1" applyNumberFormat="1" applyFont="1" applyFill="1" applyBorder="1" applyAlignment="1">
      <alignment horizontal="right" vertical="center"/>
    </xf>
    <xf numFmtId="164" fontId="5" fillId="9" borderId="1" xfId="1" applyNumberFormat="1" applyFont="1" applyFill="1" applyBorder="1" applyAlignment="1">
      <alignment horizontal="right" vertical="center"/>
    </xf>
    <xf numFmtId="9" fontId="2" fillId="6" borderId="1" xfId="1" applyNumberFormat="1" applyFill="1" applyBorder="1"/>
    <xf numFmtId="10" fontId="2" fillId="6" borderId="1" xfId="1" applyNumberFormat="1" applyFill="1" applyBorder="1"/>
    <xf numFmtId="9" fontId="6" fillId="6" borderId="1" xfId="2" applyFont="1" applyFill="1" applyBorder="1"/>
    <xf numFmtId="9" fontId="6" fillId="9" borderId="1" xfId="2" applyFont="1" applyFill="1" applyBorder="1"/>
    <xf numFmtId="164" fontId="3" fillId="3" borderId="135" xfId="1" applyNumberFormat="1" applyFont="1" applyFill="1" applyBorder="1" applyAlignment="1">
      <alignment horizontal="center" vertical="center"/>
    </xf>
    <xf numFmtId="164" fontId="4" fillId="3" borderId="61" xfId="1" applyNumberFormat="1" applyFont="1" applyFill="1" applyBorder="1" applyAlignment="1">
      <alignment horizontal="center" vertical="center"/>
    </xf>
    <xf numFmtId="0" fontId="3" fillId="3" borderId="2" xfId="1" applyFont="1" applyFill="1" applyBorder="1"/>
    <xf numFmtId="0" fontId="4" fillId="3" borderId="41" xfId="1" applyFont="1" applyFill="1" applyBorder="1"/>
    <xf numFmtId="9" fontId="2" fillId="4" borderId="0" xfId="1" applyNumberFormat="1" applyFill="1" applyBorder="1" applyAlignment="1">
      <alignment horizontal="center"/>
    </xf>
    <xf numFmtId="10" fontId="1" fillId="4" borderId="0" xfId="1" applyNumberFormat="1" applyFont="1" applyFill="1" applyBorder="1"/>
    <xf numFmtId="0" fontId="4" fillId="3" borderId="120" xfId="1" applyFont="1" applyFill="1" applyBorder="1"/>
    <xf numFmtId="0" fontId="4" fillId="3" borderId="103" xfId="1" applyFont="1" applyFill="1" applyBorder="1" applyAlignment="1"/>
    <xf numFmtId="0" fontId="4" fillId="3" borderId="103" xfId="1" applyFont="1" applyFill="1" applyBorder="1"/>
    <xf numFmtId="14" fontId="2" fillId="4" borderId="127" xfId="1" applyNumberFormat="1" applyFill="1" applyBorder="1" applyAlignment="1">
      <alignment horizontal="center" vertical="center" wrapText="1"/>
    </xf>
    <xf numFmtId="0" fontId="2" fillId="4" borderId="127" xfId="1" applyFill="1" applyBorder="1" applyAlignment="1">
      <alignment horizontal="center" vertical="center"/>
    </xf>
    <xf numFmtId="10" fontId="1" fillId="4" borderId="127" xfId="1" applyNumberFormat="1" applyFont="1" applyFill="1" applyBorder="1"/>
    <xf numFmtId="14" fontId="2" fillId="4" borderId="128" xfId="1" applyNumberFormat="1" applyFill="1" applyBorder="1" applyAlignment="1">
      <alignment horizontal="center" vertical="center" wrapText="1"/>
    </xf>
    <xf numFmtId="0" fontId="2" fillId="4" borderId="128" xfId="1" applyFill="1" applyBorder="1" applyAlignment="1">
      <alignment horizontal="center" vertical="center"/>
    </xf>
    <xf numFmtId="10" fontId="1" fillId="4" borderId="128" xfId="1" applyNumberFormat="1" applyFont="1" applyFill="1" applyBorder="1"/>
    <xf numFmtId="10" fontId="0" fillId="4" borderId="128" xfId="1" applyNumberFormat="1" applyFont="1" applyFill="1" applyBorder="1"/>
    <xf numFmtId="0" fontId="2" fillId="4" borderId="136" xfId="1" applyFill="1" applyBorder="1" applyAlignment="1">
      <alignment horizontal="center" vertical="center"/>
    </xf>
    <xf numFmtId="0" fontId="0" fillId="4" borderId="136" xfId="0" applyFill="1" applyBorder="1"/>
    <xf numFmtId="14" fontId="2" fillId="4" borderId="133" xfId="1" applyNumberFormat="1" applyFill="1" applyBorder="1" applyAlignment="1">
      <alignment horizontal="center" vertical="center" wrapText="1"/>
    </xf>
    <xf numFmtId="0" fontId="2" fillId="4" borderId="133" xfId="1" applyFill="1" applyBorder="1" applyAlignment="1">
      <alignment horizontal="center" vertical="center"/>
    </xf>
    <xf numFmtId="10" fontId="0" fillId="4" borderId="133" xfId="1" applyNumberFormat="1" applyFont="1" applyFill="1" applyBorder="1"/>
    <xf numFmtId="0" fontId="2" fillId="4" borderId="0" xfId="1" applyFill="1" applyBorder="1" applyAlignment="1">
      <alignment horizontal="left" wrapText="1"/>
    </xf>
    <xf numFmtId="10" fontId="1" fillId="4" borderId="133" xfId="1" applyNumberFormat="1" applyFont="1" applyFill="1" applyBorder="1"/>
    <xf numFmtId="10" fontId="0" fillId="4" borderId="127" xfId="1" applyNumberFormat="1" applyFont="1" applyFill="1" applyBorder="1"/>
    <xf numFmtId="9" fontId="2" fillId="4" borderId="136" xfId="1" applyNumberFormat="1" applyFill="1" applyBorder="1" applyAlignment="1">
      <alignment horizontal="center"/>
    </xf>
    <xf numFmtId="10" fontId="0" fillId="4" borderId="124" xfId="1" applyNumberFormat="1" applyFont="1" applyFill="1" applyBorder="1"/>
    <xf numFmtId="0" fontId="2" fillId="4" borderId="130" xfId="1" applyFill="1" applyBorder="1" applyAlignment="1">
      <alignment horizontal="center" vertical="center"/>
    </xf>
    <xf numFmtId="0" fontId="0" fillId="0" borderId="103" xfId="0" applyBorder="1"/>
    <xf numFmtId="10" fontId="0" fillId="11" borderId="133" xfId="1" applyNumberFormat="1" applyFont="1" applyFill="1" applyBorder="1"/>
    <xf numFmtId="0" fontId="0" fillId="0" borderId="0" xfId="0" applyAlignment="1">
      <alignment wrapText="1"/>
    </xf>
    <xf numFmtId="9" fontId="2" fillId="6" borderId="1" xfId="5" applyFont="1" applyFill="1" applyBorder="1"/>
    <xf numFmtId="164" fontId="5" fillId="4" borderId="0" xfId="1" applyNumberFormat="1" applyFont="1" applyFill="1" applyBorder="1" applyAlignment="1">
      <alignment horizontal="right" vertical="center"/>
    </xf>
    <xf numFmtId="0" fontId="5" fillId="4" borderId="0" xfId="1" applyFont="1" applyFill="1" applyBorder="1"/>
    <xf numFmtId="0" fontId="0" fillId="4" borderId="0" xfId="0" applyFill="1" applyBorder="1" applyAlignment="1">
      <alignment vertical="top"/>
    </xf>
    <xf numFmtId="0" fontId="0" fillId="4" borderId="136" xfId="0" applyFill="1" applyBorder="1" applyAlignment="1">
      <alignment horizontal="left" wrapText="1"/>
    </xf>
    <xf numFmtId="0" fontId="0" fillId="0" borderId="127" xfId="0" applyBorder="1"/>
    <xf numFmtId="10" fontId="0" fillId="10" borderId="128" xfId="1" applyNumberFormat="1" applyFont="1" applyFill="1" applyBorder="1"/>
    <xf numFmtId="10" fontId="0" fillId="4" borderId="130" xfId="1" applyNumberFormat="1" applyFont="1" applyFill="1" applyBorder="1"/>
    <xf numFmtId="10" fontId="0" fillId="12" borderId="133" xfId="1" applyNumberFormat="1" applyFont="1" applyFill="1" applyBorder="1"/>
    <xf numFmtId="0" fontId="0" fillId="4" borderId="0" xfId="0" applyFill="1" applyAlignment="1">
      <alignment wrapText="1"/>
    </xf>
    <xf numFmtId="0" fontId="2" fillId="6" borderId="1" xfId="5" applyNumberFormat="1" applyFont="1" applyFill="1" applyBorder="1"/>
    <xf numFmtId="165" fontId="2" fillId="6" borderId="1" xfId="5" applyNumberFormat="1" applyFont="1" applyFill="1" applyBorder="1"/>
    <xf numFmtId="0" fontId="0" fillId="9" borderId="1" xfId="0" applyFill="1" applyBorder="1" applyAlignment="1">
      <alignment vertical="center" wrapText="1"/>
    </xf>
    <xf numFmtId="3" fontId="0" fillId="9" borderId="1" xfId="0" applyNumberFormat="1" applyFill="1" applyBorder="1" applyAlignment="1">
      <alignment vertical="center" wrapText="1"/>
    </xf>
    <xf numFmtId="9" fontId="0" fillId="9" borderId="1" xfId="0" applyNumberFormat="1" applyFill="1" applyBorder="1" applyAlignment="1">
      <alignment vertical="center" wrapText="1"/>
    </xf>
    <xf numFmtId="0" fontId="12" fillId="6" borderId="1" xfId="5" applyNumberFormat="1" applyFont="1" applyFill="1" applyBorder="1"/>
    <xf numFmtId="165" fontId="12" fillId="6" borderId="1" xfId="5" applyNumberFormat="1" applyFont="1" applyFill="1" applyBorder="1"/>
    <xf numFmtId="9" fontId="12" fillId="6" borderId="1" xfId="5" applyNumberFormat="1" applyFont="1" applyFill="1" applyBorder="1"/>
    <xf numFmtId="3" fontId="13" fillId="9" borderId="1" xfId="1" applyNumberFormat="1" applyFont="1" applyFill="1" applyBorder="1" applyAlignment="1">
      <alignment horizontal="right" vertical="center"/>
    </xf>
    <xf numFmtId="9" fontId="13" fillId="9" borderId="1" xfId="5" applyFont="1" applyFill="1" applyBorder="1" applyAlignment="1">
      <alignment horizontal="right" vertical="center"/>
    </xf>
    <xf numFmtId="0" fontId="8" fillId="9" borderId="1" xfId="1" applyNumberFormat="1" applyFont="1" applyFill="1" applyBorder="1" applyAlignment="1">
      <alignment vertical="center"/>
    </xf>
    <xf numFmtId="3" fontId="9" fillId="9" borderId="1" xfId="1" applyNumberFormat="1" applyFont="1" applyFill="1" applyBorder="1" applyAlignment="1">
      <alignment horizontal="right" vertical="center"/>
    </xf>
    <xf numFmtId="9" fontId="9" fillId="9" borderId="1" xfId="5" applyFont="1" applyFill="1" applyBorder="1" applyAlignment="1">
      <alignment horizontal="right" vertical="center"/>
    </xf>
    <xf numFmtId="0" fontId="2" fillId="9" borderId="1" xfId="1" applyFill="1" applyBorder="1" applyAlignment="1">
      <alignment wrapText="1"/>
    </xf>
    <xf numFmtId="3" fontId="5" fillId="9" borderId="1" xfId="1" applyNumberFormat="1" applyFont="1" applyFill="1" applyBorder="1" applyAlignment="1">
      <alignment horizontal="right" vertical="center" wrapText="1"/>
    </xf>
    <xf numFmtId="9" fontId="5" fillId="9" borderId="1" xfId="5" applyNumberFormat="1" applyFont="1" applyFill="1" applyBorder="1" applyAlignment="1">
      <alignment horizontal="right" vertical="center"/>
    </xf>
    <xf numFmtId="3" fontId="5" fillId="9" borderId="1" xfId="1" applyNumberFormat="1" applyFont="1" applyFill="1" applyBorder="1" applyAlignment="1">
      <alignment horizontal="right" vertical="center"/>
    </xf>
    <xf numFmtId="9" fontId="13" fillId="9" borderId="1" xfId="5" applyNumberFormat="1" applyFont="1" applyFill="1" applyBorder="1" applyAlignment="1">
      <alignment horizontal="right" vertical="center"/>
    </xf>
    <xf numFmtId="0" fontId="0" fillId="4" borderId="130" xfId="0" applyFill="1" applyBorder="1"/>
    <xf numFmtId="9" fontId="2" fillId="4" borderId="128" xfId="1" applyNumberFormat="1" applyFill="1" applyBorder="1" applyAlignment="1">
      <alignment horizontal="center"/>
    </xf>
    <xf numFmtId="14" fontId="2" fillId="4" borderId="0" xfId="1" applyNumberFormat="1" applyFill="1" applyBorder="1" applyAlignment="1">
      <alignment horizontal="center" vertical="top" wrapText="1"/>
    </xf>
    <xf numFmtId="9" fontId="2" fillId="4" borderId="133" xfId="1" applyNumberFormat="1" applyFill="1" applyBorder="1" applyAlignment="1">
      <alignment horizontal="center"/>
    </xf>
    <xf numFmtId="0" fontId="0" fillId="4" borderId="0" xfId="0" applyFill="1" applyBorder="1" applyAlignment="1">
      <alignment horizontal="left" wrapText="1"/>
    </xf>
    <xf numFmtId="0" fontId="0" fillId="4" borderId="128" xfId="0" applyFill="1" applyBorder="1" applyAlignment="1">
      <alignment horizontal="left" wrapText="1"/>
    </xf>
    <xf numFmtId="0" fontId="0" fillId="4" borderId="133" xfId="0" applyFill="1" applyBorder="1" applyAlignment="1">
      <alignment horizontal="left" vertical="center" wrapText="1"/>
    </xf>
    <xf numFmtId="0" fontId="0" fillId="4" borderId="128" xfId="0" applyFill="1" applyBorder="1" applyAlignment="1">
      <alignment horizontal="left" vertical="center" wrapText="1"/>
    </xf>
    <xf numFmtId="9" fontId="2" fillId="4" borderId="128" xfId="1" applyNumberFormat="1" applyFill="1" applyBorder="1" applyAlignment="1">
      <alignment horizontal="center"/>
    </xf>
    <xf numFmtId="9" fontId="2" fillId="4" borderId="133" xfId="1" applyNumberFormat="1" applyFill="1" applyBorder="1" applyAlignment="1">
      <alignment horizontal="center"/>
    </xf>
    <xf numFmtId="0" fontId="0" fillId="4" borderId="0" xfId="0" applyFill="1" applyBorder="1" applyAlignment="1">
      <alignment horizontal="left" wrapText="1"/>
    </xf>
    <xf numFmtId="14" fontId="0" fillId="4" borderId="0" xfId="0" applyNumberFormat="1" applyFill="1" applyBorder="1" applyAlignment="1">
      <alignment horizontal="center" vertical="top"/>
    </xf>
    <xf numFmtId="14" fontId="0" fillId="4" borderId="127" xfId="0" applyNumberFormat="1" applyFill="1" applyBorder="1"/>
    <xf numFmtId="0" fontId="0" fillId="4" borderId="0" xfId="0" applyFill="1" applyBorder="1" applyAlignment="1">
      <alignment horizontal="center"/>
    </xf>
    <xf numFmtId="0" fontId="0" fillId="4" borderId="136" xfId="0" applyFill="1" applyBorder="1" applyAlignment="1">
      <alignment horizontal="center"/>
    </xf>
    <xf numFmtId="0" fontId="2" fillId="4" borderId="127" xfId="1" applyFill="1" applyBorder="1" applyAlignment="1">
      <alignment horizontal="left" vertical="center"/>
    </xf>
    <xf numFmtId="0" fontId="0" fillId="4" borderId="127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2" fillId="4" borderId="128" xfId="1" applyFill="1" applyBorder="1" applyAlignment="1">
      <alignment horizontal="left" vertical="center"/>
    </xf>
    <xf numFmtId="0" fontId="2" fillId="4" borderId="130" xfId="1" applyFill="1" applyBorder="1" applyAlignment="1">
      <alignment horizontal="left" vertical="center"/>
    </xf>
    <xf numFmtId="0" fontId="2" fillId="4" borderId="133" xfId="1" applyFill="1" applyBorder="1" applyAlignment="1">
      <alignment horizontal="left" vertical="center"/>
    </xf>
    <xf numFmtId="14" fontId="0" fillId="4" borderId="124" xfId="0" applyNumberFormat="1" applyFill="1" applyBorder="1" applyAlignment="1">
      <alignment horizontal="left" vertical="top"/>
    </xf>
    <xf numFmtId="0" fontId="2" fillId="4" borderId="124" xfId="1" applyFill="1" applyBorder="1" applyAlignment="1">
      <alignment horizontal="center" vertical="center"/>
    </xf>
    <xf numFmtId="10" fontId="1" fillId="4" borderId="124" xfId="1" applyNumberFormat="1" applyFont="1" applyFill="1" applyBorder="1"/>
    <xf numFmtId="14" fontId="0" fillId="4" borderId="96" xfId="0" applyNumberFormat="1" applyFill="1" applyBorder="1"/>
    <xf numFmtId="0" fontId="2" fillId="4" borderId="96" xfId="1" applyFill="1" applyBorder="1" applyAlignment="1">
      <alignment horizontal="center" vertical="center"/>
    </xf>
    <xf numFmtId="10" fontId="0" fillId="4" borderId="96" xfId="1" applyNumberFormat="1" applyFont="1" applyFill="1" applyBorder="1"/>
    <xf numFmtId="0" fontId="14" fillId="0" borderId="0" xfId="0" applyNumberFormat="1" applyFont="1" applyFill="1" applyBorder="1" applyAlignment="1">
      <alignment horizontal="left"/>
    </xf>
    <xf numFmtId="0" fontId="14" fillId="0" borderId="0" xfId="6" applyNumberFormat="1" applyFont="1" applyFill="1" applyBorder="1" applyAlignment="1">
      <alignment horizontal="left"/>
    </xf>
    <xf numFmtId="14" fontId="0" fillId="0" borderId="0" xfId="0" applyNumberFormat="1"/>
    <xf numFmtId="0" fontId="14" fillId="0" borderId="0" xfId="1" applyNumberFormat="1" applyFont="1" applyFill="1" applyBorder="1" applyAlignment="1">
      <alignment horizontal="left" vertical="center"/>
    </xf>
    <xf numFmtId="0" fontId="15" fillId="0" borderId="0" xfId="1" applyNumberFormat="1" applyFont="1" applyFill="1" applyBorder="1" applyAlignment="1">
      <alignment horizontal="left" vertical="center"/>
    </xf>
    <xf numFmtId="0" fontId="14" fillId="0" borderId="0" xfId="1" applyNumberFormat="1" applyFont="1" applyFill="1" applyBorder="1" applyAlignment="1">
      <alignment horizontal="left"/>
    </xf>
    <xf numFmtId="0" fontId="15" fillId="0" borderId="0" xfId="1" applyNumberFormat="1" applyFont="1" applyFill="1" applyBorder="1" applyAlignment="1">
      <alignment horizontal="left"/>
    </xf>
    <xf numFmtId="0" fontId="15" fillId="0" borderId="0" xfId="6" applyNumberFormat="1" applyFont="1" applyFill="1" applyBorder="1" applyAlignment="1">
      <alignment horizontal="left" vertical="center"/>
    </xf>
    <xf numFmtId="0" fontId="15" fillId="0" borderId="0" xfId="3" applyNumberFormat="1" applyFont="1" applyFill="1" applyBorder="1" applyAlignment="1">
      <alignment horizontal="left" vertical="center"/>
    </xf>
    <xf numFmtId="0" fontId="15" fillId="0" borderId="0" xfId="1" applyNumberFormat="1" applyFont="1" applyFill="1" applyBorder="1" applyAlignment="1">
      <alignment horizontal="left" vertical="center" wrapText="1"/>
    </xf>
    <xf numFmtId="0" fontId="14" fillId="0" borderId="0" xfId="3" applyNumberFormat="1" applyFont="1" applyFill="1" applyBorder="1" applyAlignment="1">
      <alignment horizontal="left"/>
    </xf>
    <xf numFmtId="0" fontId="0" fillId="0" borderId="0" xfId="0" applyFill="1" applyBorder="1"/>
    <xf numFmtId="14" fontId="0" fillId="0" borderId="0" xfId="0" applyNumberFormat="1" applyFill="1" applyBorder="1"/>
    <xf numFmtId="14" fontId="2" fillId="0" borderId="0" xfId="1" applyNumberFormat="1" applyFill="1" applyBorder="1" applyAlignment="1">
      <alignment horizontal="center" vertical="center" wrapText="1"/>
    </xf>
    <xf numFmtId="9" fontId="2" fillId="4" borderId="128" xfId="1" applyNumberFormat="1" applyFill="1" applyBorder="1" applyAlignment="1">
      <alignment horizontal="center"/>
    </xf>
    <xf numFmtId="0" fontId="2" fillId="4" borderId="128" xfId="1" applyFill="1" applyBorder="1" applyAlignment="1">
      <alignment horizontal="left" wrapText="1"/>
    </xf>
    <xf numFmtId="0" fontId="2" fillId="4" borderId="133" xfId="1" applyFill="1" applyBorder="1" applyAlignment="1">
      <alignment horizontal="left" wrapText="1"/>
    </xf>
    <xf numFmtId="9" fontId="2" fillId="4" borderId="133" xfId="1" applyNumberFormat="1" applyFill="1" applyBorder="1" applyAlignment="1">
      <alignment horizontal="center"/>
    </xf>
    <xf numFmtId="9" fontId="2" fillId="4" borderId="130" xfId="1" applyNumberFormat="1" applyFill="1" applyBorder="1" applyAlignment="1">
      <alignment horizontal="left" wrapText="1"/>
    </xf>
    <xf numFmtId="0" fontId="4" fillId="3" borderId="96" xfId="1" applyFont="1" applyFill="1" applyBorder="1" applyAlignment="1">
      <alignment horizontal="center"/>
    </xf>
    <xf numFmtId="0" fontId="4" fillId="3" borderId="97" xfId="1" applyFont="1" applyFill="1" applyBorder="1" applyAlignment="1">
      <alignment horizontal="center"/>
    </xf>
    <xf numFmtId="0" fontId="2" fillId="4" borderId="130" xfId="1" applyFill="1" applyBorder="1" applyAlignment="1">
      <alignment horizontal="left" wrapText="1"/>
    </xf>
    <xf numFmtId="0" fontId="0" fillId="4" borderId="130" xfId="0" applyFill="1" applyBorder="1" applyAlignment="1">
      <alignment horizontal="center"/>
    </xf>
    <xf numFmtId="0" fontId="4" fillId="3" borderId="91" xfId="1" applyFont="1" applyFill="1" applyBorder="1" applyAlignment="1">
      <alignment horizontal="center"/>
    </xf>
    <xf numFmtId="0" fontId="4" fillId="3" borderId="20" xfId="1" applyFont="1" applyFill="1" applyBorder="1" applyAlignment="1">
      <alignment horizontal="center"/>
    </xf>
    <xf numFmtId="0" fontId="4" fillId="3" borderId="89" xfId="1" applyFont="1" applyFill="1" applyBorder="1" applyAlignment="1">
      <alignment horizontal="center"/>
    </xf>
    <xf numFmtId="0" fontId="4" fillId="3" borderId="134" xfId="1" applyFont="1" applyFill="1" applyBorder="1" applyAlignment="1">
      <alignment horizontal="center"/>
    </xf>
    <xf numFmtId="0" fontId="4" fillId="3" borderId="67" xfId="1" applyFont="1" applyFill="1" applyBorder="1" applyAlignment="1">
      <alignment horizontal="center"/>
    </xf>
    <xf numFmtId="0" fontId="4" fillId="3" borderId="118" xfId="1" applyFont="1" applyFill="1" applyBorder="1" applyAlignment="1">
      <alignment horizontal="center"/>
    </xf>
    <xf numFmtId="0" fontId="4" fillId="3" borderId="21" xfId="1" applyFont="1" applyFill="1" applyBorder="1" applyAlignment="1">
      <alignment horizontal="center"/>
    </xf>
    <xf numFmtId="0" fontId="3" fillId="3" borderId="120" xfId="1" applyFont="1" applyFill="1" applyBorder="1" applyAlignment="1">
      <alignment horizontal="center"/>
    </xf>
    <xf numFmtId="0" fontId="3" fillId="3" borderId="102" xfId="1" applyFont="1" applyFill="1" applyBorder="1" applyAlignment="1">
      <alignment horizontal="center"/>
    </xf>
    <xf numFmtId="0" fontId="3" fillId="3" borderId="121" xfId="1" applyFont="1" applyFill="1" applyBorder="1" applyAlignment="1">
      <alignment horizontal="center"/>
    </xf>
    <xf numFmtId="0" fontId="3" fillId="3" borderId="126" xfId="1" applyFont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11" fillId="0" borderId="0" xfId="0" applyFont="1" applyBorder="1" applyAlignment="1">
      <alignment horizontal="left" vertical="center" wrapText="1"/>
    </xf>
    <xf numFmtId="0" fontId="11" fillId="0" borderId="124" xfId="0" applyFont="1" applyBorder="1" applyAlignment="1">
      <alignment horizontal="left" vertical="center" wrapText="1"/>
    </xf>
    <xf numFmtId="0" fontId="4" fillId="3" borderId="103" xfId="1" applyFont="1" applyFill="1" applyBorder="1" applyAlignment="1">
      <alignment horizontal="center"/>
    </xf>
    <xf numFmtId="0" fontId="4" fillId="3" borderId="102" xfId="1" applyFont="1" applyFill="1" applyBorder="1" applyAlignment="1">
      <alignment horizontal="center"/>
    </xf>
    <xf numFmtId="0" fontId="2" fillId="4" borderId="127" xfId="1" applyFill="1" applyBorder="1" applyAlignment="1">
      <alignment horizontal="left" wrapText="1"/>
    </xf>
    <xf numFmtId="0" fontId="2" fillId="4" borderId="0" xfId="1" applyFill="1" applyBorder="1" applyAlignment="1">
      <alignment horizontal="left"/>
    </xf>
    <xf numFmtId="9" fontId="2" fillId="4" borderId="127" xfId="1" applyNumberFormat="1" applyFill="1" applyBorder="1" applyAlignment="1">
      <alignment horizontal="center"/>
    </xf>
    <xf numFmtId="0" fontId="0" fillId="0" borderId="128" xfId="0" applyBorder="1" applyAlignment="1">
      <alignment horizontal="left" vertical="center" wrapText="1"/>
    </xf>
    <xf numFmtId="0" fontId="2" fillId="5" borderId="9" xfId="1" applyFill="1" applyBorder="1" applyAlignment="1">
      <alignment horizontal="center" vertical="center" wrapText="1"/>
    </xf>
    <xf numFmtId="0" fontId="2" fillId="5" borderId="41" xfId="1" applyFill="1" applyBorder="1" applyAlignment="1">
      <alignment horizontal="center" vertical="center" wrapText="1"/>
    </xf>
    <xf numFmtId="0" fontId="2" fillId="6" borderId="25" xfId="1" applyFill="1" applyBorder="1" applyAlignment="1">
      <alignment horizontal="center" vertical="center"/>
    </xf>
    <xf numFmtId="0" fontId="2" fillId="5" borderId="33" xfId="1" applyFill="1" applyBorder="1" applyAlignment="1">
      <alignment horizontal="center" vertical="center"/>
    </xf>
    <xf numFmtId="0" fontId="2" fillId="5" borderId="35" xfId="1" applyFill="1" applyBorder="1" applyAlignment="1">
      <alignment horizontal="center" vertical="center"/>
    </xf>
    <xf numFmtId="0" fontId="2" fillId="5" borderId="36" xfId="1" applyFill="1" applyBorder="1" applyAlignment="1">
      <alignment horizontal="center" vertical="center"/>
    </xf>
    <xf numFmtId="14" fontId="2" fillId="4" borderId="103" xfId="1" applyNumberFormat="1" applyFill="1" applyBorder="1" applyAlignment="1">
      <alignment horizontal="center" vertical="top" wrapText="1"/>
    </xf>
    <xf numFmtId="14" fontId="2" fillId="4" borderId="0" xfId="1" applyNumberFormat="1" applyFill="1" applyBorder="1" applyAlignment="1">
      <alignment horizontal="center" vertical="top" wrapText="1"/>
    </xf>
    <xf numFmtId="14" fontId="2" fillId="4" borderId="124" xfId="1" applyNumberFormat="1" applyFill="1" applyBorder="1" applyAlignment="1">
      <alignment horizontal="center" vertical="top" wrapText="1"/>
    </xf>
    <xf numFmtId="14" fontId="0" fillId="0" borderId="103" xfId="0" applyNumberFormat="1" applyBorder="1" applyAlignment="1">
      <alignment horizontal="center" vertical="top"/>
    </xf>
    <xf numFmtId="14" fontId="0" fillId="0" borderId="0" xfId="0" applyNumberFormat="1" applyBorder="1" applyAlignment="1">
      <alignment horizontal="center" vertical="top"/>
    </xf>
    <xf numFmtId="14" fontId="0" fillId="0" borderId="124" xfId="0" applyNumberFormat="1" applyBorder="1" applyAlignment="1">
      <alignment horizontal="center" vertical="top"/>
    </xf>
    <xf numFmtId="0" fontId="0" fillId="4" borderId="0" xfId="0" applyFill="1" applyBorder="1" applyAlignment="1">
      <alignment horizontal="left" wrapText="1"/>
    </xf>
    <xf numFmtId="0" fontId="0" fillId="4" borderId="127" xfId="0" applyFill="1" applyBorder="1" applyAlignment="1">
      <alignment horizontal="center"/>
    </xf>
    <xf numFmtId="0" fontId="0" fillId="4" borderId="128" xfId="0" applyFill="1" applyBorder="1" applyAlignment="1">
      <alignment horizontal="center"/>
    </xf>
    <xf numFmtId="0" fontId="0" fillId="4" borderId="133" xfId="0" applyFill="1" applyBorder="1" applyAlignment="1">
      <alignment horizontal="center"/>
    </xf>
    <xf numFmtId="0" fontId="0" fillId="4" borderId="133" xfId="0" applyFill="1" applyBorder="1" applyAlignment="1">
      <alignment horizontal="left" wrapText="1"/>
    </xf>
    <xf numFmtId="0" fontId="0" fillId="4" borderId="127" xfId="0" applyFill="1" applyBorder="1" applyAlignment="1">
      <alignment horizontal="left" wrapText="1"/>
    </xf>
    <xf numFmtId="14" fontId="0" fillId="4" borderId="0" xfId="0" applyNumberFormat="1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124" xfId="0" applyFill="1" applyBorder="1" applyAlignment="1">
      <alignment horizontal="left" vertical="top"/>
    </xf>
    <xf numFmtId="0" fontId="0" fillId="4" borderId="128" xfId="0" applyFill="1" applyBorder="1" applyAlignment="1">
      <alignment horizontal="left" wrapText="1"/>
    </xf>
    <xf numFmtId="0" fontId="0" fillId="4" borderId="133" xfId="0" applyFill="1" applyBorder="1" applyAlignment="1">
      <alignment horizontal="left" vertical="center" wrapText="1"/>
    </xf>
    <xf numFmtId="0" fontId="2" fillId="9" borderId="137" xfId="1" applyFill="1" applyBorder="1" applyAlignment="1">
      <alignment horizontal="center" vertical="center"/>
    </xf>
    <xf numFmtId="0" fontId="2" fillId="9" borderId="33" xfId="1" applyFill="1" applyBorder="1" applyAlignment="1">
      <alignment horizontal="center" vertical="center"/>
    </xf>
    <xf numFmtId="0" fontId="2" fillId="9" borderId="139" xfId="1" applyFill="1" applyBorder="1" applyAlignment="1">
      <alignment horizontal="center" vertical="center"/>
    </xf>
    <xf numFmtId="0" fontId="2" fillId="9" borderId="36" xfId="1" applyFill="1" applyBorder="1" applyAlignment="1">
      <alignment horizontal="center" vertical="center"/>
    </xf>
    <xf numFmtId="0" fontId="0" fillId="4" borderId="128" xfId="0" applyFill="1" applyBorder="1" applyAlignment="1">
      <alignment horizontal="left" vertical="center" wrapText="1"/>
    </xf>
    <xf numFmtId="0" fontId="4" fillId="3" borderId="1" xfId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0" fontId="2" fillId="4" borderId="124" xfId="1" applyFill="1" applyBorder="1" applyAlignment="1">
      <alignment horizontal="left" wrapText="1"/>
    </xf>
    <xf numFmtId="9" fontId="2" fillId="4" borderId="124" xfId="1" applyNumberFormat="1" applyFill="1" applyBorder="1" applyAlignment="1">
      <alignment horizontal="center"/>
    </xf>
    <xf numFmtId="0" fontId="2" fillId="4" borderId="96" xfId="1" applyFill="1" applyBorder="1" applyAlignment="1">
      <alignment horizontal="left" wrapText="1"/>
    </xf>
    <xf numFmtId="9" fontId="2" fillId="4" borderId="96" xfId="1" applyNumberFormat="1" applyFill="1" applyBorder="1" applyAlignment="1">
      <alignment horizontal="center"/>
    </xf>
    <xf numFmtId="0" fontId="0" fillId="4" borderId="130" xfId="0" applyFill="1" applyBorder="1" applyAlignment="1">
      <alignment horizontal="left" wrapText="1"/>
    </xf>
    <xf numFmtId="14" fontId="0" fillId="4" borderId="103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124" xfId="0" applyFill="1" applyBorder="1" applyAlignment="1">
      <alignment horizontal="center" vertical="top"/>
    </xf>
    <xf numFmtId="0" fontId="2" fillId="9" borderId="138" xfId="1" applyFill="1" applyBorder="1" applyAlignment="1">
      <alignment horizontal="center" vertical="center"/>
    </xf>
    <xf numFmtId="0" fontId="2" fillId="9" borderId="35" xfId="1" applyFill="1" applyBorder="1" applyAlignment="1">
      <alignment horizontal="center" vertical="center"/>
    </xf>
    <xf numFmtId="9" fontId="2" fillId="4" borderId="128" xfId="1" applyNumberFormat="1" applyFill="1" applyBorder="1" applyAlignment="1">
      <alignment horizontal="left" wrapText="1"/>
    </xf>
    <xf numFmtId="9" fontId="2" fillId="4" borderId="128" xfId="1" applyNumberFormat="1" applyFill="1" applyBorder="1" applyAlignment="1">
      <alignment horizontal="left"/>
    </xf>
    <xf numFmtId="9" fontId="2" fillId="4" borderId="133" xfId="1" applyNumberFormat="1" applyFill="1" applyBorder="1" applyAlignment="1">
      <alignment horizontal="left" wrapText="1"/>
    </xf>
    <xf numFmtId="14" fontId="0" fillId="4" borderId="0" xfId="0" applyNumberFormat="1" applyFill="1" applyBorder="1" applyAlignment="1">
      <alignment horizontal="center" vertical="top"/>
    </xf>
    <xf numFmtId="14" fontId="0" fillId="4" borderId="124" xfId="0" applyNumberFormat="1" applyFill="1" applyBorder="1" applyAlignment="1">
      <alignment horizontal="center" vertical="top"/>
    </xf>
    <xf numFmtId="0" fontId="0" fillId="4" borderId="124" xfId="0" applyFill="1" applyBorder="1" applyAlignment="1">
      <alignment horizontal="left" wrapText="1"/>
    </xf>
    <xf numFmtId="0" fontId="0" fillId="4" borderId="128" xfId="0" applyFill="1" applyBorder="1" applyAlignment="1">
      <alignment horizontal="left"/>
    </xf>
    <xf numFmtId="0" fontId="2" fillId="9" borderId="1" xfId="1" applyFill="1" applyBorder="1" applyAlignment="1">
      <alignment horizontal="center" vertical="center"/>
    </xf>
    <xf numFmtId="9" fontId="2" fillId="4" borderId="128" xfId="1" applyNumberFormat="1" applyFill="1" applyBorder="1" applyAlignment="1">
      <alignment horizontal="left" vertical="top" wrapText="1"/>
    </xf>
    <xf numFmtId="9" fontId="2" fillId="4" borderId="130" xfId="1" applyNumberFormat="1" applyFill="1" applyBorder="1" applyAlignment="1">
      <alignment horizontal="center"/>
    </xf>
    <xf numFmtId="0" fontId="2" fillId="9" borderId="2" xfId="1" applyFill="1" applyBorder="1" applyAlignment="1">
      <alignment horizontal="center" vertical="center"/>
    </xf>
    <xf numFmtId="0" fontId="2" fillId="9" borderId="41" xfId="1" applyFill="1" applyBorder="1" applyAlignment="1">
      <alignment horizontal="center" vertical="center"/>
    </xf>
    <xf numFmtId="0" fontId="2" fillId="9" borderId="9" xfId="1" applyFill="1" applyBorder="1" applyAlignment="1">
      <alignment horizontal="left" vertical="center"/>
    </xf>
    <xf numFmtId="0" fontId="2" fillId="9" borderId="41" xfId="1" applyFill="1" applyBorder="1" applyAlignment="1">
      <alignment horizontal="left" vertical="center"/>
    </xf>
    <xf numFmtId="165" fontId="5" fillId="9" borderId="122" xfId="1" applyNumberFormat="1" applyFont="1" applyFill="1" applyBorder="1" applyAlignment="1">
      <alignment horizontal="center" vertical="center"/>
    </xf>
    <xf numFmtId="165" fontId="5" fillId="9" borderId="123" xfId="1" applyNumberFormat="1" applyFont="1" applyFill="1" applyBorder="1" applyAlignment="1">
      <alignment horizontal="center" vertical="center"/>
    </xf>
    <xf numFmtId="165" fontId="5" fillId="9" borderId="105" xfId="1" applyNumberFormat="1" applyFont="1" applyFill="1" applyBorder="1" applyAlignment="1">
      <alignment horizontal="center" vertical="center"/>
    </xf>
    <xf numFmtId="165" fontId="5" fillId="9" borderId="108" xfId="1" applyNumberFormat="1" applyFont="1" applyFill="1" applyBorder="1" applyAlignment="1">
      <alignment horizontal="center" vertical="center"/>
    </xf>
    <xf numFmtId="10" fontId="2" fillId="9" borderId="109" xfId="1" applyNumberFormat="1" applyFill="1" applyBorder="1" applyAlignment="1">
      <alignment horizontal="center" vertical="center"/>
    </xf>
    <xf numFmtId="10" fontId="2" fillId="9" borderId="110" xfId="1" applyNumberFormat="1" applyFill="1" applyBorder="1" applyAlignment="1">
      <alignment horizontal="center" vertical="center"/>
    </xf>
    <xf numFmtId="10" fontId="2" fillId="9" borderId="62" xfId="1" applyNumberFormat="1" applyFill="1" applyBorder="1" applyAlignment="1">
      <alignment horizontal="center" vertical="center"/>
    </xf>
    <xf numFmtId="10" fontId="2" fillId="9" borderId="111" xfId="1" applyNumberFormat="1" applyFill="1" applyBorder="1" applyAlignment="1">
      <alignment horizontal="center" vertical="center"/>
    </xf>
    <xf numFmtId="165" fontId="6" fillId="9" borderId="112" xfId="2" applyNumberFormat="1" applyFont="1" applyFill="1" applyBorder="1" applyAlignment="1">
      <alignment horizontal="right" vertical="center"/>
    </xf>
    <xf numFmtId="165" fontId="6" fillId="9" borderId="113" xfId="2" applyNumberFormat="1" applyFont="1" applyFill="1" applyBorder="1" applyAlignment="1">
      <alignment horizontal="right" vertical="center"/>
    </xf>
    <xf numFmtId="0" fontId="4" fillId="3" borderId="66" xfId="1" applyFont="1" applyFill="1" applyBorder="1" applyAlignment="1">
      <alignment horizontal="left" vertical="center"/>
    </xf>
    <xf numFmtId="0" fontId="4" fillId="3" borderId="70" xfId="1" applyFont="1" applyFill="1" applyBorder="1" applyAlignment="1">
      <alignment horizontal="left" vertical="center"/>
    </xf>
    <xf numFmtId="165" fontId="1" fillId="9" borderId="104" xfId="1" applyNumberFormat="1" applyFont="1" applyFill="1" applyBorder="1" applyAlignment="1">
      <alignment horizontal="center" vertical="center"/>
    </xf>
    <xf numFmtId="165" fontId="1" fillId="9" borderId="106" xfId="1" applyNumberFormat="1" applyFont="1" applyFill="1" applyBorder="1" applyAlignment="1">
      <alignment horizontal="center" vertical="center"/>
    </xf>
    <xf numFmtId="165" fontId="1" fillId="9" borderId="1" xfId="1" applyNumberFormat="1" applyFont="1" applyFill="1" applyBorder="1" applyAlignment="1">
      <alignment horizontal="center" vertical="center"/>
    </xf>
    <xf numFmtId="165" fontId="1" fillId="9" borderId="107" xfId="1" applyNumberFormat="1" applyFont="1" applyFill="1" applyBorder="1" applyAlignment="1">
      <alignment horizontal="center" vertical="center"/>
    </xf>
    <xf numFmtId="165" fontId="1" fillId="9" borderId="116" xfId="1" applyNumberFormat="1" applyFont="1" applyFill="1" applyBorder="1" applyAlignment="1">
      <alignment horizontal="center" vertical="center"/>
    </xf>
    <xf numFmtId="165" fontId="1" fillId="9" borderId="117" xfId="1" applyNumberFormat="1" applyFont="1" applyFill="1" applyBorder="1" applyAlignment="1">
      <alignment horizontal="center" vertical="center"/>
    </xf>
    <xf numFmtId="165" fontId="1" fillId="9" borderId="114" xfId="1" applyNumberFormat="1" applyFont="1" applyFill="1" applyBorder="1" applyAlignment="1">
      <alignment horizontal="center" vertical="center"/>
    </xf>
    <xf numFmtId="165" fontId="1" fillId="9" borderId="115" xfId="1" applyNumberFormat="1" applyFont="1" applyFill="1" applyBorder="1" applyAlignment="1">
      <alignment horizontal="center" vertical="center"/>
    </xf>
    <xf numFmtId="0" fontId="0" fillId="4" borderId="128" xfId="0" applyFill="1" applyBorder="1" applyAlignment="1">
      <alignment horizontal="left" vertical="top"/>
    </xf>
    <xf numFmtId="0" fontId="0" fillId="4" borderId="127" xfId="0" applyFill="1" applyBorder="1" applyAlignment="1">
      <alignment horizontal="left" vertical="top" wrapText="1"/>
    </xf>
    <xf numFmtId="0" fontId="0" fillId="4" borderId="128" xfId="0" applyFill="1" applyBorder="1" applyAlignment="1">
      <alignment horizontal="left" vertical="top" wrapText="1"/>
    </xf>
    <xf numFmtId="0" fontId="0" fillId="4" borderId="133" xfId="0" applyFill="1" applyBorder="1" applyAlignment="1">
      <alignment horizontal="left" vertical="top" wrapText="1"/>
    </xf>
    <xf numFmtId="0" fontId="0" fillId="4" borderId="133" xfId="0" applyFill="1" applyBorder="1" applyAlignment="1">
      <alignment horizontal="left" vertical="top"/>
    </xf>
    <xf numFmtId="0" fontId="0" fillId="4" borderId="127" xfId="0" applyFill="1" applyBorder="1" applyAlignment="1">
      <alignment horizontal="left" vertical="center"/>
    </xf>
    <xf numFmtId="0" fontId="4" fillId="3" borderId="120" xfId="1" applyFont="1" applyFill="1" applyBorder="1" applyAlignment="1">
      <alignment horizontal="left" vertical="center"/>
    </xf>
    <xf numFmtId="0" fontId="4" fillId="3" borderId="121" xfId="1" applyFont="1" applyFill="1" applyBorder="1" applyAlignment="1">
      <alignment horizontal="left" vertical="center"/>
    </xf>
    <xf numFmtId="0" fontId="4" fillId="3" borderId="102" xfId="1" applyFont="1" applyFill="1" applyBorder="1" applyAlignment="1">
      <alignment horizontal="left" vertical="center"/>
    </xf>
    <xf numFmtId="0" fontId="4" fillId="3" borderId="126" xfId="1" applyFont="1" applyFill="1" applyBorder="1" applyAlignment="1">
      <alignment horizontal="left" vertical="center"/>
    </xf>
    <xf numFmtId="0" fontId="0" fillId="4" borderId="130" xfId="0" applyFill="1" applyBorder="1" applyAlignment="1">
      <alignment horizontal="left" vertical="top"/>
    </xf>
    <xf numFmtId="0" fontId="0" fillId="4" borderId="130" xfId="0" applyFill="1" applyBorder="1" applyAlignment="1">
      <alignment horizontal="left" vertical="top" wrapText="1"/>
    </xf>
    <xf numFmtId="0" fontId="0" fillId="4" borderId="127" xfId="0" applyFill="1" applyBorder="1" applyAlignment="1">
      <alignment horizontal="left" vertical="top"/>
    </xf>
    <xf numFmtId="0" fontId="4" fillId="3" borderId="6" xfId="1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/>
    </xf>
    <xf numFmtId="0" fontId="4" fillId="3" borderId="4" xfId="1" applyFont="1" applyFill="1" applyBorder="1" applyAlignment="1">
      <alignment horizontal="center"/>
    </xf>
    <xf numFmtId="0" fontId="2" fillId="2" borderId="2" xfId="1" applyFill="1" applyBorder="1" applyAlignment="1">
      <alignment horizontal="center"/>
    </xf>
    <xf numFmtId="0" fontId="2" fillId="2" borderId="9" xfId="1" applyFill="1" applyBorder="1" applyAlignment="1">
      <alignment horizontal="center"/>
    </xf>
    <xf numFmtId="0" fontId="4" fillId="3" borderId="3" xfId="1" applyFont="1" applyFill="1" applyBorder="1" applyAlignment="1">
      <alignment horizontal="center"/>
    </xf>
    <xf numFmtId="0" fontId="4" fillId="3" borderId="8" xfId="1" applyFont="1" applyFill="1" applyBorder="1" applyAlignment="1">
      <alignment horizontal="center"/>
    </xf>
    <xf numFmtId="0" fontId="2" fillId="5" borderId="2" xfId="1" applyFill="1" applyBorder="1" applyAlignment="1">
      <alignment horizontal="center" vertical="center" wrapText="1"/>
    </xf>
    <xf numFmtId="0" fontId="2" fillId="6" borderId="16" xfId="1" applyFill="1" applyBorder="1" applyAlignment="1">
      <alignment horizontal="center" vertical="center"/>
    </xf>
    <xf numFmtId="0" fontId="2" fillId="2" borderId="53" xfId="1" applyFill="1" applyBorder="1" applyAlignment="1">
      <alignment horizontal="center" vertical="center" wrapText="1"/>
    </xf>
    <xf numFmtId="0" fontId="2" fillId="2" borderId="60" xfId="1" applyFill="1" applyBorder="1" applyAlignment="1">
      <alignment horizontal="center" vertical="center" wrapText="1"/>
    </xf>
    <xf numFmtId="0" fontId="2" fillId="5" borderId="66" xfId="1" applyFill="1" applyBorder="1" applyAlignment="1">
      <alignment horizontal="center" vertical="center" wrapText="1"/>
    </xf>
    <xf numFmtId="0" fontId="2" fillId="5" borderId="68" xfId="1" applyFill="1" applyBorder="1" applyAlignment="1">
      <alignment horizontal="center" vertical="center" wrapText="1"/>
    </xf>
    <xf numFmtId="0" fontId="2" fillId="5" borderId="70" xfId="1" applyFill="1" applyBorder="1" applyAlignment="1">
      <alignment horizontal="center" vertical="center" wrapText="1"/>
    </xf>
    <xf numFmtId="0" fontId="8" fillId="7" borderId="16" xfId="1" applyFont="1" applyFill="1" applyBorder="1" applyAlignment="1">
      <alignment horizontal="center" vertical="center"/>
    </xf>
    <xf numFmtId="0" fontId="8" fillId="7" borderId="25" xfId="1" applyFont="1" applyFill="1" applyBorder="1" applyAlignment="1">
      <alignment horizontal="center" vertical="center"/>
    </xf>
    <xf numFmtId="0" fontId="8" fillId="7" borderId="71" xfId="1" applyFont="1" applyFill="1" applyBorder="1" applyAlignment="1">
      <alignment horizontal="center" vertical="center"/>
    </xf>
    <xf numFmtId="0" fontId="2" fillId="2" borderId="68" xfId="1" applyFill="1" applyBorder="1" applyAlignment="1">
      <alignment horizontal="center" vertical="center" wrapText="1"/>
    </xf>
    <xf numFmtId="0" fontId="8" fillId="9" borderId="25" xfId="1" applyFont="1" applyFill="1" applyBorder="1" applyAlignment="1">
      <alignment horizontal="center" vertical="center"/>
    </xf>
    <xf numFmtId="0" fontId="2" fillId="5" borderId="60" xfId="1" applyFill="1" applyBorder="1" applyAlignment="1">
      <alignment horizontal="center" vertical="center" wrapText="1"/>
    </xf>
    <xf numFmtId="0" fontId="2" fillId="5" borderId="16" xfId="1" applyFill="1" applyBorder="1" applyAlignment="1">
      <alignment horizontal="center" vertical="center"/>
    </xf>
    <xf numFmtId="0" fontId="2" fillId="5" borderId="25" xfId="1" applyFill="1" applyBorder="1" applyAlignment="1">
      <alignment horizontal="center" vertical="center"/>
    </xf>
    <xf numFmtId="0" fontId="2" fillId="2" borderId="79" xfId="1" applyFill="1" applyBorder="1" applyAlignment="1">
      <alignment horizontal="center" vertical="center"/>
    </xf>
    <xf numFmtId="0" fontId="2" fillId="2" borderId="81" xfId="1" applyFill="1" applyBorder="1" applyAlignment="1">
      <alignment horizontal="center" vertical="center"/>
    </xf>
    <xf numFmtId="0" fontId="2" fillId="2" borderId="44" xfId="1" applyFill="1" applyBorder="1" applyAlignment="1">
      <alignment horizontal="center" vertical="center"/>
    </xf>
    <xf numFmtId="0" fontId="2" fillId="9" borderId="80" xfId="1" applyFill="1" applyBorder="1" applyAlignment="1">
      <alignment horizontal="center" vertical="center"/>
    </xf>
    <xf numFmtId="0" fontId="2" fillId="9" borderId="25" xfId="1" applyFill="1" applyBorder="1" applyAlignment="1">
      <alignment horizontal="center" vertical="center"/>
    </xf>
    <xf numFmtId="0" fontId="2" fillId="9" borderId="82" xfId="1" applyFill="1" applyBorder="1" applyAlignment="1">
      <alignment horizontal="center" vertical="center"/>
    </xf>
    <xf numFmtId="0" fontId="2" fillId="5" borderId="83" xfId="1" applyFill="1" applyBorder="1" applyAlignment="1">
      <alignment horizontal="center" vertical="center"/>
    </xf>
    <xf numFmtId="0" fontId="2" fillId="5" borderId="84" xfId="1" applyFill="1" applyBorder="1" applyAlignment="1">
      <alignment horizontal="center" vertical="center"/>
    </xf>
    <xf numFmtId="0" fontId="2" fillId="7" borderId="25" xfId="1" applyFill="1" applyBorder="1" applyAlignment="1">
      <alignment horizontal="center" vertical="center"/>
    </xf>
    <xf numFmtId="0" fontId="2" fillId="7" borderId="32" xfId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left" vertical="center"/>
    </xf>
    <xf numFmtId="0" fontId="14" fillId="0" borderId="0" xfId="1" applyNumberFormat="1" applyFont="1" applyFill="1" applyBorder="1" applyAlignment="1">
      <alignment horizontal="left" vertical="center" wrapText="1"/>
    </xf>
    <xf numFmtId="0" fontId="14" fillId="0" borderId="0" xfId="1" applyNumberFormat="1" applyFont="1" applyFill="1" applyBorder="1" applyAlignment="1">
      <alignment horizontal="left"/>
    </xf>
  </cellXfs>
  <cellStyles count="7">
    <cellStyle name="Обычный" xfId="0" builtinId="0"/>
    <cellStyle name="Обычный 2" xfId="1" xr:uid="{170125C9-EF03-4E55-A6B5-946D1509F75C}"/>
    <cellStyle name="Процентный" xfId="5" builtinId="5"/>
    <cellStyle name="Процентный 2" xfId="2" xr:uid="{6B4F35EC-9C68-4C1D-951B-3A1918B7B551}"/>
    <cellStyle name="Процентный 3" xfId="3" xr:uid="{F68F23E4-38EF-48CC-8A45-E5706CA6C66F}"/>
    <cellStyle name="Процентный 4" xfId="4" xr:uid="{9D2422E5-B203-44C1-9AF1-FCB1C5A33CCC}"/>
    <cellStyle name="Финансовый" xfId="6" builtinId="3"/>
  </cellStyles>
  <dxfs count="10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A86ED4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86ED4"/>
      <color rgb="FF7030A0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Савинов Андрей Александрович" id="{D8243E8E-0752-4DF1-9953-D26FF8EFE5A4}" userId="S::savinovaa@cloud.modulbank.ru::a710891a-5131-460f-a1e6-aaee28c40360" providerId="AD"/>
</personLis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19-07-17T05:56:41.87" personId="{D8243E8E-0752-4DF1-9953-D26FF8EFE5A4}" id="{E4258073-3B80-40E0-8A07-9CECD3458295}">
    <text xml:space="preserve">Месяц         План   
Июль          367 500    
Август         389 500    
Сентябрь    408 000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19-07-17T05:56:41.87" personId="{D8243E8E-0752-4DF1-9953-D26FF8EFE5A4}" id="{9837012C-EA51-43B7-933B-A49D6D378D34}">
    <text xml:space="preserve">Месяц         План   
Июль          367 500    
Август         389 500    
Сентябрь    408 000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FE7F7-ADC1-46CA-B779-36D1A607F33F}">
  <sheetPr codeName="Лист1"/>
  <dimension ref="A1:BE220"/>
  <sheetViews>
    <sheetView topLeftCell="A39" workbookViewId="0">
      <selection activeCell="J45" sqref="J45"/>
    </sheetView>
  </sheetViews>
  <sheetFormatPr defaultRowHeight="14.4" x14ac:dyDescent="0.3"/>
  <cols>
    <col min="1" max="1" width="10.109375" bestFit="1" customWidth="1"/>
    <col min="2" max="2" width="16" customWidth="1"/>
    <col min="3" max="3" width="32.44140625" style="1" customWidth="1"/>
    <col min="4" max="4" width="12.44140625" customWidth="1"/>
    <col min="5" max="5" width="10.33203125" bestFit="1" customWidth="1"/>
    <col min="7" max="7" width="7.33203125" customWidth="1"/>
    <col min="8" max="8" width="10.33203125" bestFit="1" customWidth="1"/>
    <col min="10" max="10" width="11" customWidth="1"/>
    <col min="11" max="11" width="10.33203125" bestFit="1" customWidth="1"/>
    <col min="14" max="14" width="10.33203125" bestFit="1" customWidth="1"/>
    <col min="18" max="57" width="8.88671875" style="282"/>
  </cols>
  <sheetData>
    <row r="1" spans="1:17" x14ac:dyDescent="0.3">
      <c r="A1" s="445"/>
      <c r="B1" s="446"/>
      <c r="C1" s="332"/>
      <c r="D1" s="330" t="s">
        <v>0</v>
      </c>
      <c r="E1" s="438">
        <v>33</v>
      </c>
      <c r="F1" s="439"/>
      <c r="G1" s="440"/>
      <c r="H1" s="441">
        <f>E1-1</f>
        <v>32</v>
      </c>
      <c r="I1" s="442"/>
      <c r="J1" s="443"/>
      <c r="K1" s="438">
        <f>H1-1</f>
        <v>31</v>
      </c>
      <c r="L1" s="444"/>
      <c r="M1" s="440"/>
      <c r="N1" s="438">
        <f>K1-1</f>
        <v>30</v>
      </c>
      <c r="O1" s="444"/>
      <c r="P1" s="440"/>
      <c r="Q1" s="282"/>
    </row>
    <row r="2" spans="1:17" ht="15" thickBot="1" x14ac:dyDescent="0.35">
      <c r="A2" s="447"/>
      <c r="B2" s="448"/>
      <c r="C2" s="333" t="s">
        <v>1</v>
      </c>
      <c r="D2" s="331" t="s">
        <v>2</v>
      </c>
      <c r="E2" s="248" t="s">
        <v>3</v>
      </c>
      <c r="F2" s="12" t="s">
        <v>4</v>
      </c>
      <c r="G2" s="249" t="s">
        <v>5</v>
      </c>
      <c r="H2" s="248" t="s">
        <v>3</v>
      </c>
      <c r="I2" s="13" t="s">
        <v>4</v>
      </c>
      <c r="J2" s="249" t="s">
        <v>5</v>
      </c>
      <c r="K2" s="248" t="s">
        <v>3</v>
      </c>
      <c r="L2" s="12" t="s">
        <v>4</v>
      </c>
      <c r="M2" s="249" t="s">
        <v>5</v>
      </c>
      <c r="N2" s="248" t="s">
        <v>3</v>
      </c>
      <c r="O2" s="12" t="s">
        <v>4</v>
      </c>
      <c r="P2" s="249" t="s">
        <v>5</v>
      </c>
      <c r="Q2" s="282"/>
    </row>
    <row r="3" spans="1:17" x14ac:dyDescent="0.3">
      <c r="A3" s="458" t="s">
        <v>6</v>
      </c>
      <c r="B3" s="460" t="s">
        <v>7</v>
      </c>
      <c r="C3" s="62" t="s">
        <v>8</v>
      </c>
      <c r="D3" s="250">
        <v>1165000</v>
      </c>
      <c r="E3" s="258">
        <v>389500</v>
      </c>
      <c r="F3" s="21">
        <v>370928</v>
      </c>
      <c r="G3" s="259">
        <f t="shared" ref="G3:G8" si="0">F3/E3</f>
        <v>0.95231835686777921</v>
      </c>
      <c r="H3" s="258">
        <v>389500</v>
      </c>
      <c r="I3" s="18">
        <v>373107</v>
      </c>
      <c r="J3" s="259">
        <f t="shared" ref="J3:J8" si="1">I3/H3</f>
        <v>0.95791270860077027</v>
      </c>
      <c r="K3" s="258">
        <v>389500</v>
      </c>
      <c r="L3" s="18">
        <v>373107</v>
      </c>
      <c r="M3" s="259">
        <f t="shared" ref="M3:M10" si="2">L3/K3</f>
        <v>0.95791270860077027</v>
      </c>
      <c r="N3" s="258">
        <v>389500</v>
      </c>
      <c r="O3" s="18">
        <v>373107</v>
      </c>
      <c r="P3" s="259">
        <f t="shared" ref="P3:P10" si="3">O3/N3</f>
        <v>0.95791270860077027</v>
      </c>
      <c r="Q3" s="282"/>
    </row>
    <row r="4" spans="1:17" x14ac:dyDescent="0.3">
      <c r="A4" s="458"/>
      <c r="B4" s="460"/>
      <c r="C4" s="29" t="s">
        <v>9</v>
      </c>
      <c r="D4" s="251">
        <v>5087</v>
      </c>
      <c r="E4" s="260">
        <v>5052</v>
      </c>
      <c r="F4" s="34">
        <v>5301</v>
      </c>
      <c r="G4" s="261">
        <f t="shared" si="0"/>
        <v>1.0492874109263659</v>
      </c>
      <c r="H4" s="260">
        <v>5052</v>
      </c>
      <c r="I4" s="32">
        <v>5271</v>
      </c>
      <c r="J4" s="261">
        <f t="shared" si="1"/>
        <v>1.0433491686460807</v>
      </c>
      <c r="K4" s="260">
        <v>5052</v>
      </c>
      <c r="L4" s="32">
        <v>5233</v>
      </c>
      <c r="M4" s="261">
        <f t="shared" si="2"/>
        <v>1.035827395091053</v>
      </c>
      <c r="N4" s="260">
        <v>5052</v>
      </c>
      <c r="O4" s="32">
        <v>5233</v>
      </c>
      <c r="P4" s="261">
        <f t="shared" si="3"/>
        <v>1.035827395091053</v>
      </c>
      <c r="Q4" s="282"/>
    </row>
    <row r="5" spans="1:17" x14ac:dyDescent="0.3">
      <c r="A5" s="458"/>
      <c r="B5" s="460"/>
      <c r="C5" s="29" t="s">
        <v>10</v>
      </c>
      <c r="D5" s="252">
        <v>0.6</v>
      </c>
      <c r="E5" s="262">
        <v>0.6</v>
      </c>
      <c r="F5" s="39">
        <v>0.39400000000000002</v>
      </c>
      <c r="G5" s="261">
        <f t="shared" si="0"/>
        <v>0.65666666666666673</v>
      </c>
      <c r="H5" s="262">
        <v>0.6</v>
      </c>
      <c r="I5" s="39">
        <v>0.371</v>
      </c>
      <c r="J5" s="261">
        <f t="shared" si="1"/>
        <v>0.6183333333333334</v>
      </c>
      <c r="K5" s="262">
        <v>0.6</v>
      </c>
      <c r="L5" s="39">
        <v>0.36199999999999999</v>
      </c>
      <c r="M5" s="261">
        <f t="shared" si="2"/>
        <v>0.60333333333333339</v>
      </c>
      <c r="N5" s="262">
        <v>0.6</v>
      </c>
      <c r="O5" s="39">
        <v>0.36199999999999999</v>
      </c>
      <c r="P5" s="261">
        <f t="shared" si="3"/>
        <v>0.60333333333333339</v>
      </c>
      <c r="Q5" s="282"/>
    </row>
    <row r="6" spans="1:17" x14ac:dyDescent="0.3">
      <c r="A6" s="458"/>
      <c r="B6" s="461" t="s">
        <v>11</v>
      </c>
      <c r="C6" s="41" t="s">
        <v>12</v>
      </c>
      <c r="D6" s="253">
        <v>0.98</v>
      </c>
      <c r="E6" s="263">
        <v>0.98</v>
      </c>
      <c r="F6" s="47">
        <v>0.99739999999999995</v>
      </c>
      <c r="G6" s="264">
        <f t="shared" si="0"/>
        <v>1.0177551020408162</v>
      </c>
      <c r="H6" s="263">
        <v>0.98</v>
      </c>
      <c r="I6" s="46">
        <v>0.996</v>
      </c>
      <c r="J6" s="269">
        <f t="shared" si="1"/>
        <v>1.0163265306122449</v>
      </c>
      <c r="K6" s="263">
        <v>0.98</v>
      </c>
      <c r="L6" s="49">
        <v>0.99250000000000005</v>
      </c>
      <c r="M6" s="270">
        <f t="shared" si="2"/>
        <v>1.0127551020408163</v>
      </c>
      <c r="N6" s="263">
        <v>0.98</v>
      </c>
      <c r="O6" s="49">
        <v>0.99250000000000005</v>
      </c>
      <c r="P6" s="270">
        <f t="shared" si="3"/>
        <v>1.0127551020408163</v>
      </c>
      <c r="Q6" s="282"/>
    </row>
    <row r="7" spans="1:17" x14ac:dyDescent="0.3">
      <c r="A7" s="458"/>
      <c r="B7" s="462"/>
      <c r="C7" s="41" t="s">
        <v>13</v>
      </c>
      <c r="D7" s="253">
        <v>0.98</v>
      </c>
      <c r="E7" s="263">
        <v>0.98</v>
      </c>
      <c r="F7" s="47">
        <v>0.99250000000000005</v>
      </c>
      <c r="G7" s="264">
        <f t="shared" si="0"/>
        <v>1.0127551020408163</v>
      </c>
      <c r="H7" s="263">
        <v>0.98</v>
      </c>
      <c r="I7" s="46">
        <v>0.99199999999999999</v>
      </c>
      <c r="J7" s="269">
        <f t="shared" si="1"/>
        <v>1.0122448979591836</v>
      </c>
      <c r="K7" s="263">
        <v>0.98</v>
      </c>
      <c r="L7" s="49">
        <v>0.98499999999999999</v>
      </c>
      <c r="M7" s="270">
        <f t="shared" si="2"/>
        <v>1.0051020408163265</v>
      </c>
      <c r="N7" s="263">
        <v>0.98</v>
      </c>
      <c r="O7" s="49">
        <v>0.98499999999999999</v>
      </c>
      <c r="P7" s="270">
        <f t="shared" si="3"/>
        <v>1.0051020408163265</v>
      </c>
      <c r="Q7" s="282"/>
    </row>
    <row r="8" spans="1:17" x14ac:dyDescent="0.3">
      <c r="A8" s="458"/>
      <c r="B8" s="463"/>
      <c r="C8" s="56" t="s">
        <v>14</v>
      </c>
      <c r="D8" s="254">
        <v>0.98</v>
      </c>
      <c r="E8" s="263">
        <v>0.98</v>
      </c>
      <c r="F8" s="47">
        <v>0.998</v>
      </c>
      <c r="G8" s="264">
        <f t="shared" si="0"/>
        <v>1.0183673469387755</v>
      </c>
      <c r="H8" s="263">
        <v>0.98</v>
      </c>
      <c r="I8" s="46">
        <v>0.99929999999999997</v>
      </c>
      <c r="J8" s="269">
        <f t="shared" si="1"/>
        <v>1.0196938775510205</v>
      </c>
      <c r="K8" s="263">
        <v>0.98</v>
      </c>
      <c r="L8" s="49">
        <v>0.97060000000000002</v>
      </c>
      <c r="M8" s="270">
        <f t="shared" si="2"/>
        <v>0.99040816326530612</v>
      </c>
      <c r="N8" s="263">
        <v>0.98</v>
      </c>
      <c r="O8" s="49">
        <v>0.97060000000000002</v>
      </c>
      <c r="P8" s="270">
        <f t="shared" si="3"/>
        <v>0.99040816326530612</v>
      </c>
      <c r="Q8" s="282"/>
    </row>
    <row r="9" spans="1:17" x14ac:dyDescent="0.3">
      <c r="A9" s="458"/>
      <c r="B9" s="460" t="s">
        <v>15</v>
      </c>
      <c r="C9" s="62" t="s">
        <v>16</v>
      </c>
      <c r="D9" s="255">
        <v>0.95</v>
      </c>
      <c r="E9" s="262">
        <f>$D$9</f>
        <v>0.95</v>
      </c>
      <c r="F9" s="72"/>
      <c r="G9" s="261">
        <f>F9/E9</f>
        <v>0</v>
      </c>
      <c r="H9" s="262">
        <f>$D$9</f>
        <v>0.95</v>
      </c>
      <c r="I9" s="72">
        <v>0.99</v>
      </c>
      <c r="J9" s="261">
        <f>I9/H9</f>
        <v>1.0421052631578949</v>
      </c>
      <c r="K9" s="262">
        <f>$D$9</f>
        <v>0.95</v>
      </c>
      <c r="L9" s="40">
        <v>0.99</v>
      </c>
      <c r="M9" s="271">
        <f t="shared" si="2"/>
        <v>1.0421052631578949</v>
      </c>
      <c r="N9" s="262">
        <f>$D$9</f>
        <v>0.95</v>
      </c>
      <c r="O9" s="40">
        <v>0.99</v>
      </c>
      <c r="P9" s="271">
        <f t="shared" si="3"/>
        <v>1.0421052631578949</v>
      </c>
      <c r="Q9" s="282"/>
    </row>
    <row r="10" spans="1:17" x14ac:dyDescent="0.3">
      <c r="A10" s="458"/>
      <c r="B10" s="460"/>
      <c r="C10" s="29" t="s">
        <v>17</v>
      </c>
      <c r="D10" s="252">
        <v>0.95</v>
      </c>
      <c r="E10" s="262">
        <f>$D$10</f>
        <v>0.95</v>
      </c>
      <c r="F10" s="71"/>
      <c r="G10" s="261">
        <f>F10/E10</f>
        <v>0</v>
      </c>
      <c r="H10" s="262">
        <f>$D$10</f>
        <v>0.95</v>
      </c>
      <c r="I10" s="71">
        <v>0.95</v>
      </c>
      <c r="J10" s="261">
        <f>I10/H10</f>
        <v>1</v>
      </c>
      <c r="K10" s="262">
        <f>$D$10</f>
        <v>0.95</v>
      </c>
      <c r="L10" s="40">
        <v>0.65</v>
      </c>
      <c r="M10" s="271">
        <f t="shared" si="2"/>
        <v>0.68421052631578949</v>
      </c>
      <c r="N10" s="262">
        <f>$D$10</f>
        <v>0.95</v>
      </c>
      <c r="O10" s="40">
        <v>0.65</v>
      </c>
      <c r="P10" s="271">
        <f t="shared" si="3"/>
        <v>0.68421052631578949</v>
      </c>
      <c r="Q10" s="282"/>
    </row>
    <row r="11" spans="1:17" x14ac:dyDescent="0.3">
      <c r="A11" s="458"/>
      <c r="B11" s="460"/>
      <c r="C11" s="29" t="s">
        <v>18</v>
      </c>
      <c r="D11" s="252">
        <v>0.3</v>
      </c>
      <c r="E11" s="262"/>
      <c r="F11" s="39"/>
      <c r="G11" s="261"/>
      <c r="H11" s="262"/>
      <c r="I11" s="39"/>
      <c r="J11" s="261"/>
      <c r="K11" s="262">
        <v>0.3</v>
      </c>
      <c r="L11" s="39"/>
      <c r="M11" s="261"/>
      <c r="N11" s="262">
        <v>0.3</v>
      </c>
      <c r="O11" s="39"/>
      <c r="P11" s="261"/>
      <c r="Q11" s="282"/>
    </row>
    <row r="12" spans="1:17" x14ac:dyDescent="0.3">
      <c r="A12" s="458"/>
      <c r="B12" s="461" t="s">
        <v>19</v>
      </c>
      <c r="C12" s="41" t="s">
        <v>20</v>
      </c>
      <c r="D12" s="253">
        <v>0.7</v>
      </c>
      <c r="E12" s="263">
        <v>0.7</v>
      </c>
      <c r="F12" s="44">
        <v>0.41</v>
      </c>
      <c r="G12" s="264">
        <f>F12/E12</f>
        <v>0.58571428571428574</v>
      </c>
      <c r="H12" s="263">
        <v>0.7</v>
      </c>
      <c r="I12" s="46">
        <v>0.45</v>
      </c>
      <c r="J12" s="269">
        <f>I12/H12</f>
        <v>0.6428571428571429</v>
      </c>
      <c r="K12" s="263">
        <v>0.7</v>
      </c>
      <c r="L12" s="49">
        <v>0.49</v>
      </c>
      <c r="M12" s="270">
        <f>L12/K12</f>
        <v>0.70000000000000007</v>
      </c>
      <c r="N12" s="263">
        <v>0.7</v>
      </c>
      <c r="O12" s="49">
        <v>0.49</v>
      </c>
      <c r="P12" s="270">
        <f>O12/N12</f>
        <v>0.70000000000000007</v>
      </c>
      <c r="Q12" s="282"/>
    </row>
    <row r="13" spans="1:17" x14ac:dyDescent="0.3">
      <c r="A13" s="458"/>
      <c r="B13" s="462"/>
      <c r="C13" s="74" t="s">
        <v>21</v>
      </c>
      <c r="D13" s="256" t="s">
        <v>22</v>
      </c>
      <c r="E13" s="265"/>
      <c r="F13" s="86"/>
      <c r="G13" s="266"/>
      <c r="H13" s="265"/>
      <c r="I13" s="84"/>
      <c r="J13" s="266"/>
      <c r="K13" s="265"/>
      <c r="L13" s="82"/>
      <c r="M13" s="272"/>
      <c r="N13" s="265"/>
      <c r="O13" s="82"/>
      <c r="P13" s="272"/>
      <c r="Q13" s="282"/>
    </row>
    <row r="14" spans="1:17" ht="15" thickBot="1" x14ac:dyDescent="0.35">
      <c r="A14" s="459"/>
      <c r="B14" s="88" t="s">
        <v>23</v>
      </c>
      <c r="C14" s="89" t="s">
        <v>24</v>
      </c>
      <c r="D14" s="257">
        <v>0.7</v>
      </c>
      <c r="E14" s="267">
        <v>0.7</v>
      </c>
      <c r="F14" s="100">
        <v>0.69399999999999995</v>
      </c>
      <c r="G14" s="268">
        <f t="shared" ref="G14" si="4">F14/E14</f>
        <v>0.99142857142857144</v>
      </c>
      <c r="H14" s="267">
        <v>0.7</v>
      </c>
      <c r="I14" s="100">
        <v>0.6895</v>
      </c>
      <c r="J14" s="268">
        <f t="shared" ref="J14" si="5">I14/H14</f>
        <v>0.9850000000000001</v>
      </c>
      <c r="K14" s="267">
        <v>0.7</v>
      </c>
      <c r="L14" s="100">
        <v>0.6895</v>
      </c>
      <c r="M14" s="268">
        <f t="shared" ref="M14" si="6">L14/K14</f>
        <v>0.9850000000000001</v>
      </c>
      <c r="N14" s="267">
        <v>0.7</v>
      </c>
      <c r="O14" s="100">
        <v>0.6895</v>
      </c>
      <c r="P14" s="268">
        <f t="shared" ref="P14" si="7">O14/N14</f>
        <v>0.9850000000000001</v>
      </c>
      <c r="Q14" s="282"/>
    </row>
    <row r="15" spans="1:17" s="282" customFormat="1" x14ac:dyDescent="0.3">
      <c r="A15" s="273"/>
      <c r="B15" s="274"/>
      <c r="C15" s="275"/>
      <c r="D15" s="276"/>
      <c r="E15" s="277"/>
      <c r="F15" s="278"/>
      <c r="G15" s="279"/>
      <c r="H15" s="277"/>
      <c r="I15" s="278"/>
      <c r="J15" s="279"/>
      <c r="K15" s="277"/>
      <c r="L15" s="278"/>
      <c r="M15" s="279"/>
      <c r="N15" s="280"/>
    </row>
    <row r="16" spans="1:17" s="282" customFormat="1" x14ac:dyDescent="0.3">
      <c r="A16" s="273"/>
      <c r="B16" s="293"/>
      <c r="C16" s="6"/>
      <c r="D16" s="294"/>
      <c r="E16" s="284"/>
      <c r="F16" s="285"/>
      <c r="G16" s="295"/>
      <c r="H16" s="284"/>
      <c r="I16" s="285"/>
      <c r="J16" s="295"/>
      <c r="K16" s="284"/>
      <c r="L16" s="285"/>
      <c r="M16" s="295"/>
      <c r="N16" s="280"/>
    </row>
    <row r="17" spans="1:17" s="282" customFormat="1" ht="16.2" thickBot="1" x14ac:dyDescent="0.35">
      <c r="A17" s="451" t="s">
        <v>25</v>
      </c>
      <c r="B17" s="451"/>
      <c r="C17" s="451"/>
      <c r="D17" s="451"/>
      <c r="E17" s="451"/>
      <c r="F17" s="451"/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</row>
    <row r="18" spans="1:17" s="282" customFormat="1" x14ac:dyDescent="0.3">
      <c r="A18" s="336" t="s">
        <v>26</v>
      </c>
      <c r="B18" s="337" t="s">
        <v>27</v>
      </c>
      <c r="C18" s="452" t="s">
        <v>28</v>
      </c>
      <c r="D18" s="452"/>
      <c r="E18" s="452"/>
      <c r="F18" s="452"/>
      <c r="G18" s="452"/>
      <c r="H18" s="452"/>
      <c r="I18" s="452"/>
      <c r="J18" s="338" t="s">
        <v>29</v>
      </c>
      <c r="K18" s="452" t="s">
        <v>30</v>
      </c>
      <c r="L18" s="452"/>
      <c r="M18" s="452"/>
      <c r="N18" s="452"/>
      <c r="O18" s="452"/>
      <c r="P18" s="452"/>
      <c r="Q18" s="453"/>
    </row>
    <row r="19" spans="1:17" s="282" customFormat="1" ht="27" customHeight="1" x14ac:dyDescent="0.3">
      <c r="A19" s="339">
        <v>43738</v>
      </c>
      <c r="B19" s="340" t="s">
        <v>7</v>
      </c>
      <c r="C19" s="454" t="s">
        <v>31</v>
      </c>
      <c r="D19" s="454"/>
      <c r="E19" s="454"/>
      <c r="F19" s="454"/>
      <c r="G19" s="454"/>
      <c r="H19" s="454"/>
      <c r="I19" s="454"/>
      <c r="J19" s="341" t="s">
        <v>32</v>
      </c>
      <c r="K19" s="456"/>
      <c r="L19" s="456"/>
      <c r="M19" s="456"/>
      <c r="N19" s="456"/>
      <c r="O19" s="456"/>
      <c r="P19" s="456"/>
      <c r="Q19" s="456"/>
    </row>
    <row r="20" spans="1:17" s="282" customFormat="1" ht="27" customHeight="1" x14ac:dyDescent="0.3">
      <c r="A20" s="342">
        <v>43707</v>
      </c>
      <c r="B20" s="343" t="s">
        <v>15</v>
      </c>
      <c r="C20" s="430" t="s">
        <v>33</v>
      </c>
      <c r="D20" s="430"/>
      <c r="E20" s="430"/>
      <c r="F20" s="430"/>
      <c r="G20" s="430"/>
      <c r="H20" s="430"/>
      <c r="I20" s="430"/>
      <c r="J20" s="344" t="s">
        <v>32</v>
      </c>
      <c r="K20" s="429"/>
      <c r="L20" s="429"/>
      <c r="M20" s="429"/>
      <c r="N20" s="429"/>
      <c r="O20" s="429"/>
      <c r="P20" s="429"/>
      <c r="Q20" s="429"/>
    </row>
    <row r="21" spans="1:17" s="282" customFormat="1" ht="27" customHeight="1" x14ac:dyDescent="0.3">
      <c r="A21" s="342">
        <v>43707</v>
      </c>
      <c r="B21" s="343" t="s">
        <v>15</v>
      </c>
      <c r="C21" s="430" t="s">
        <v>34</v>
      </c>
      <c r="D21" s="430"/>
      <c r="E21" s="430"/>
      <c r="F21" s="430"/>
      <c r="G21" s="430"/>
      <c r="H21" s="430"/>
      <c r="I21" s="430"/>
      <c r="J21" s="344" t="s">
        <v>32</v>
      </c>
      <c r="K21" s="429"/>
      <c r="L21" s="429"/>
      <c r="M21" s="429"/>
      <c r="N21" s="429"/>
      <c r="O21" s="429"/>
      <c r="P21" s="429"/>
      <c r="Q21" s="429"/>
    </row>
    <row r="22" spans="1:17" s="282" customFormat="1" ht="27" customHeight="1" x14ac:dyDescent="0.3">
      <c r="A22" s="342">
        <v>43707</v>
      </c>
      <c r="B22" s="340" t="s">
        <v>19</v>
      </c>
      <c r="C22" s="457" t="s">
        <v>35</v>
      </c>
      <c r="D22" s="457"/>
      <c r="E22" s="457"/>
      <c r="F22" s="457"/>
      <c r="G22" s="457"/>
      <c r="H22" s="457"/>
      <c r="I22" s="457"/>
      <c r="J22" s="344" t="s">
        <v>32</v>
      </c>
      <c r="K22" s="389"/>
      <c r="L22" s="389"/>
      <c r="M22" s="389"/>
      <c r="N22" s="389"/>
      <c r="O22" s="389"/>
      <c r="P22" s="389"/>
      <c r="Q22" s="389"/>
    </row>
    <row r="23" spans="1:17" s="282" customFormat="1" ht="27" customHeight="1" x14ac:dyDescent="0.3">
      <c r="A23" s="342">
        <v>43738</v>
      </c>
      <c r="B23" s="340" t="s">
        <v>19</v>
      </c>
      <c r="C23" s="457" t="s">
        <v>36</v>
      </c>
      <c r="D23" s="457"/>
      <c r="E23" s="457"/>
      <c r="F23" s="457"/>
      <c r="G23" s="457"/>
      <c r="H23" s="457"/>
      <c r="I23" s="457"/>
      <c r="J23" s="353" t="s">
        <v>32</v>
      </c>
      <c r="K23" s="429"/>
      <c r="L23" s="429"/>
      <c r="M23" s="429"/>
      <c r="N23" s="429"/>
      <c r="O23" s="429"/>
      <c r="P23" s="429"/>
      <c r="Q23" s="429"/>
    </row>
    <row r="24" spans="1:17" s="282" customFormat="1" ht="27" customHeight="1" x14ac:dyDescent="0.3">
      <c r="A24" s="342">
        <v>43738</v>
      </c>
      <c r="B24" s="343" t="s">
        <v>11</v>
      </c>
      <c r="C24" s="430" t="s">
        <v>37</v>
      </c>
      <c r="D24" s="430"/>
      <c r="E24" s="430"/>
      <c r="F24" s="430"/>
      <c r="G24" s="430"/>
      <c r="H24" s="430"/>
      <c r="I24" s="430"/>
      <c r="J24" s="345" t="s">
        <v>32</v>
      </c>
      <c r="K24" s="389"/>
      <c r="L24" s="389"/>
      <c r="M24" s="389"/>
      <c r="N24" s="389"/>
      <c r="O24" s="389"/>
      <c r="P24" s="389"/>
      <c r="Q24" s="389"/>
    </row>
    <row r="25" spans="1:17" s="282" customFormat="1" ht="27" customHeight="1" x14ac:dyDescent="0.3">
      <c r="A25" s="342">
        <v>43738</v>
      </c>
      <c r="B25" s="343" t="s">
        <v>11</v>
      </c>
      <c r="C25" s="430" t="s">
        <v>38</v>
      </c>
      <c r="D25" s="430"/>
      <c r="E25" s="430"/>
      <c r="F25" s="430"/>
      <c r="G25" s="430"/>
      <c r="H25" s="430"/>
      <c r="I25" s="430"/>
      <c r="J25" s="353" t="s">
        <v>32</v>
      </c>
      <c r="K25" s="389"/>
      <c r="L25" s="389"/>
      <c r="M25" s="389"/>
      <c r="N25" s="389"/>
      <c r="O25" s="389"/>
      <c r="P25" s="389"/>
      <c r="Q25" s="389"/>
    </row>
    <row r="26" spans="1:17" s="282" customFormat="1" ht="27" customHeight="1" x14ac:dyDescent="0.3">
      <c r="A26" s="342">
        <v>43738</v>
      </c>
      <c r="B26" s="346" t="s">
        <v>23</v>
      </c>
      <c r="C26" s="430" t="s">
        <v>39</v>
      </c>
      <c r="D26" s="430"/>
      <c r="E26" s="430"/>
      <c r="F26" s="430"/>
      <c r="G26" s="430"/>
      <c r="H26" s="430"/>
      <c r="I26" s="430"/>
      <c r="J26" s="353" t="s">
        <v>32</v>
      </c>
      <c r="K26" s="354"/>
      <c r="L26" s="354"/>
      <c r="M26" s="354"/>
      <c r="N26" s="354"/>
      <c r="O26" s="354"/>
      <c r="P26" s="354"/>
      <c r="Q26" s="354"/>
    </row>
    <row r="27" spans="1:17" s="282" customFormat="1" ht="27" customHeight="1" x14ac:dyDescent="0.3">
      <c r="A27" s="342">
        <v>43738</v>
      </c>
      <c r="B27" s="346" t="s">
        <v>23</v>
      </c>
      <c r="C27" s="430" t="s">
        <v>40</v>
      </c>
      <c r="D27" s="430"/>
      <c r="E27" s="430"/>
      <c r="F27" s="430"/>
      <c r="G27" s="430"/>
      <c r="H27" s="430"/>
      <c r="I27" s="430"/>
      <c r="J27" s="353" t="s">
        <v>32</v>
      </c>
      <c r="K27" s="354"/>
      <c r="L27" s="354"/>
      <c r="M27" s="354"/>
      <c r="N27" s="354"/>
      <c r="O27" s="354"/>
      <c r="P27" s="354"/>
      <c r="Q27" s="354"/>
    </row>
    <row r="28" spans="1:17" s="282" customFormat="1" ht="27" customHeight="1" thickBot="1" x14ac:dyDescent="0.35">
      <c r="A28" s="348">
        <v>43738</v>
      </c>
      <c r="B28" s="349" t="s">
        <v>23</v>
      </c>
      <c r="C28" s="431" t="s">
        <v>41</v>
      </c>
      <c r="D28" s="431"/>
      <c r="E28" s="431"/>
      <c r="F28" s="431"/>
      <c r="G28" s="431"/>
      <c r="H28" s="431"/>
      <c r="I28" s="431"/>
      <c r="J28" s="355" t="s">
        <v>32</v>
      </c>
      <c r="K28" s="391"/>
      <c r="L28" s="391"/>
      <c r="M28" s="391"/>
      <c r="N28" s="391"/>
      <c r="O28" s="391"/>
      <c r="P28" s="391"/>
      <c r="Q28" s="391"/>
    </row>
    <row r="29" spans="1:17" s="282" customFormat="1" x14ac:dyDescent="0.3">
      <c r="A29" s="273"/>
      <c r="B29" s="293"/>
      <c r="C29" s="455"/>
      <c r="D29" s="455"/>
      <c r="E29" s="455"/>
      <c r="F29" s="455"/>
      <c r="G29" s="455"/>
      <c r="H29" s="455"/>
      <c r="I29" s="455"/>
      <c r="J29" s="295"/>
      <c r="K29" s="284"/>
      <c r="L29" s="285"/>
      <c r="M29" s="295"/>
      <c r="N29" s="280"/>
    </row>
    <row r="30" spans="1:17" s="282" customFormat="1" x14ac:dyDescent="0.3">
      <c r="A30" s="273"/>
      <c r="B30" s="293"/>
      <c r="C30" s="449"/>
      <c r="D30" s="449"/>
      <c r="E30" s="449"/>
      <c r="F30" s="449"/>
      <c r="G30" s="449"/>
      <c r="H30" s="449"/>
      <c r="I30" s="449"/>
      <c r="J30" s="295"/>
      <c r="K30" s="284"/>
      <c r="L30" s="285"/>
      <c r="M30" s="295"/>
      <c r="N30" s="280"/>
    </row>
    <row r="31" spans="1:17" ht="16.2" thickBot="1" x14ac:dyDescent="0.35">
      <c r="A31" s="450" t="s">
        <v>42</v>
      </c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  <c r="Q31" s="450"/>
    </row>
    <row r="32" spans="1:17" ht="14.4" customHeight="1" thickBot="1" x14ac:dyDescent="0.35">
      <c r="A32" s="291" t="s">
        <v>43</v>
      </c>
      <c r="B32" s="290" t="s">
        <v>27</v>
      </c>
      <c r="C32" s="434" t="s">
        <v>28</v>
      </c>
      <c r="D32" s="434"/>
      <c r="E32" s="434"/>
      <c r="F32" s="434"/>
      <c r="G32" s="434"/>
      <c r="H32" s="434"/>
      <c r="I32" s="434"/>
      <c r="J32" s="306" t="s">
        <v>29</v>
      </c>
      <c r="K32" s="434" t="s">
        <v>30</v>
      </c>
      <c r="L32" s="434"/>
      <c r="M32" s="434"/>
      <c r="N32" s="434"/>
      <c r="O32" s="434"/>
      <c r="P32" s="434"/>
      <c r="Q32" s="435"/>
    </row>
    <row r="33" spans="1:17" ht="27" customHeight="1" x14ac:dyDescent="0.3">
      <c r="A33" s="467">
        <v>43696</v>
      </c>
      <c r="B33" s="356" t="s">
        <v>7</v>
      </c>
      <c r="C33" s="436" t="s">
        <v>44</v>
      </c>
      <c r="D33" s="436"/>
      <c r="E33" s="436"/>
      <c r="F33" s="436"/>
      <c r="G33" s="436"/>
      <c r="H33" s="436"/>
      <c r="I33" s="436"/>
      <c r="J33" s="357"/>
      <c r="K33" s="437"/>
      <c r="L33" s="437"/>
      <c r="M33" s="437"/>
      <c r="N33" s="437"/>
      <c r="O33" s="437"/>
      <c r="P33" s="437"/>
      <c r="Q33" s="437"/>
    </row>
    <row r="34" spans="1:17" ht="27" customHeight="1" x14ac:dyDescent="0.3">
      <c r="A34" s="468"/>
      <c r="B34" s="340" t="s">
        <v>7</v>
      </c>
      <c r="C34" s="430" t="s">
        <v>45</v>
      </c>
      <c r="D34" s="430"/>
      <c r="E34" s="430"/>
      <c r="F34" s="430"/>
      <c r="G34" s="430"/>
      <c r="H34" s="430"/>
      <c r="I34" s="430"/>
      <c r="J34" s="344"/>
      <c r="K34" s="429"/>
      <c r="L34" s="429"/>
      <c r="M34" s="429"/>
      <c r="N34" s="429"/>
      <c r="O34" s="429"/>
      <c r="P34" s="429"/>
      <c r="Q34" s="429"/>
    </row>
    <row r="35" spans="1:17" ht="27" customHeight="1" x14ac:dyDescent="0.3">
      <c r="A35" s="468"/>
      <c r="B35" s="340" t="s">
        <v>7</v>
      </c>
      <c r="C35" s="430" t="s">
        <v>46</v>
      </c>
      <c r="D35" s="430"/>
      <c r="E35" s="430"/>
      <c r="F35" s="430"/>
      <c r="G35" s="430"/>
      <c r="H35" s="430"/>
      <c r="I35" s="430"/>
      <c r="J35" s="344"/>
      <c r="K35" s="429"/>
      <c r="L35" s="429"/>
      <c r="M35" s="429"/>
      <c r="N35" s="429"/>
      <c r="O35" s="429"/>
      <c r="P35" s="429"/>
      <c r="Q35" s="429"/>
    </row>
    <row r="36" spans="1:17" ht="27" customHeight="1" x14ac:dyDescent="0.3">
      <c r="A36" s="468"/>
      <c r="B36" s="340" t="s">
        <v>7</v>
      </c>
      <c r="C36" s="430" t="s">
        <v>47</v>
      </c>
      <c r="D36" s="430"/>
      <c r="E36" s="430"/>
      <c r="F36" s="430"/>
      <c r="G36" s="430"/>
      <c r="H36" s="430"/>
      <c r="I36" s="430"/>
      <c r="J36" s="344"/>
      <c r="K36" s="429"/>
      <c r="L36" s="429"/>
      <c r="M36" s="429"/>
      <c r="N36" s="429"/>
      <c r="O36" s="429"/>
      <c r="P36" s="429"/>
      <c r="Q36" s="429"/>
    </row>
    <row r="37" spans="1:17" ht="27" customHeight="1" x14ac:dyDescent="0.3">
      <c r="A37" s="468"/>
      <c r="B37" s="343" t="s">
        <v>11</v>
      </c>
      <c r="C37" s="430" t="s">
        <v>48</v>
      </c>
      <c r="D37" s="430"/>
      <c r="E37" s="430"/>
      <c r="F37" s="430"/>
      <c r="G37" s="430"/>
      <c r="H37" s="430"/>
      <c r="I37" s="430"/>
      <c r="J37" s="344"/>
      <c r="K37" s="429"/>
      <c r="L37" s="429"/>
      <c r="M37" s="429"/>
      <c r="N37" s="429"/>
      <c r="O37" s="429"/>
      <c r="P37" s="429"/>
      <c r="Q37" s="429"/>
    </row>
    <row r="38" spans="1:17" ht="27" customHeight="1" x14ac:dyDescent="0.3">
      <c r="A38" s="468"/>
      <c r="B38" s="343" t="s">
        <v>11</v>
      </c>
      <c r="C38" s="430" t="s">
        <v>49</v>
      </c>
      <c r="D38" s="430"/>
      <c r="E38" s="430"/>
      <c r="F38" s="430"/>
      <c r="G38" s="430"/>
      <c r="H38" s="430"/>
      <c r="I38" s="430"/>
      <c r="J38" s="344"/>
      <c r="K38" s="429"/>
      <c r="L38" s="429"/>
      <c r="M38" s="429"/>
      <c r="N38" s="429"/>
      <c r="O38" s="429"/>
      <c r="P38" s="429"/>
      <c r="Q38" s="429"/>
    </row>
    <row r="39" spans="1:17" ht="27" customHeight="1" x14ac:dyDescent="0.3">
      <c r="A39" s="468"/>
      <c r="B39" s="343" t="s">
        <v>11</v>
      </c>
      <c r="C39" s="430" t="s">
        <v>50</v>
      </c>
      <c r="D39" s="430"/>
      <c r="E39" s="430"/>
      <c r="F39" s="430"/>
      <c r="G39" s="430"/>
      <c r="H39" s="430"/>
      <c r="I39" s="430"/>
      <c r="J39" s="344"/>
      <c r="K39" s="429"/>
      <c r="L39" s="429"/>
      <c r="M39" s="429"/>
      <c r="N39" s="429"/>
      <c r="O39" s="429"/>
      <c r="P39" s="429"/>
      <c r="Q39" s="429"/>
    </row>
    <row r="40" spans="1:17" ht="27" customHeight="1" x14ac:dyDescent="0.3">
      <c r="A40" s="468"/>
      <c r="B40" s="343" t="s">
        <v>11</v>
      </c>
      <c r="C40" s="430" t="s">
        <v>51</v>
      </c>
      <c r="D40" s="430"/>
      <c r="E40" s="430"/>
      <c r="F40" s="430"/>
      <c r="G40" s="430"/>
      <c r="H40" s="430"/>
      <c r="I40" s="430"/>
      <c r="J40" s="344"/>
      <c r="K40" s="429"/>
      <c r="L40" s="429"/>
      <c r="M40" s="429"/>
      <c r="N40" s="429"/>
      <c r="O40" s="429"/>
      <c r="P40" s="429"/>
      <c r="Q40" s="429"/>
    </row>
    <row r="41" spans="1:17" ht="27" customHeight="1" x14ac:dyDescent="0.3">
      <c r="A41" s="468"/>
      <c r="B41" s="343" t="s">
        <v>11</v>
      </c>
      <c r="C41" s="430" t="s">
        <v>52</v>
      </c>
      <c r="D41" s="430"/>
      <c r="E41" s="430"/>
      <c r="F41" s="430"/>
      <c r="G41" s="430"/>
      <c r="H41" s="430"/>
      <c r="I41" s="430"/>
      <c r="J41" s="344"/>
      <c r="K41" s="429"/>
      <c r="L41" s="429"/>
      <c r="M41" s="429"/>
      <c r="N41" s="429"/>
      <c r="O41" s="429"/>
      <c r="P41" s="429"/>
      <c r="Q41" s="429"/>
    </row>
    <row r="42" spans="1:17" ht="27" customHeight="1" x14ac:dyDescent="0.3">
      <c r="A42" s="468"/>
      <c r="B42" s="343" t="s">
        <v>23</v>
      </c>
      <c r="C42" s="430" t="s">
        <v>53</v>
      </c>
      <c r="D42" s="430"/>
      <c r="E42" s="430"/>
      <c r="F42" s="430"/>
      <c r="G42" s="430"/>
      <c r="H42" s="430"/>
      <c r="I42" s="430"/>
      <c r="J42" s="344"/>
      <c r="K42" s="429"/>
      <c r="L42" s="429"/>
      <c r="M42" s="429"/>
      <c r="N42" s="429"/>
      <c r="O42" s="429"/>
      <c r="P42" s="429"/>
      <c r="Q42" s="429"/>
    </row>
    <row r="43" spans="1:17" ht="27" customHeight="1" x14ac:dyDescent="0.3">
      <c r="A43" s="468"/>
      <c r="B43" s="343" t="s">
        <v>23</v>
      </c>
      <c r="C43" s="430" t="s">
        <v>54</v>
      </c>
      <c r="D43" s="430"/>
      <c r="E43" s="430"/>
      <c r="F43" s="430"/>
      <c r="G43" s="430"/>
      <c r="H43" s="430"/>
      <c r="I43" s="430"/>
      <c r="J43" s="344"/>
      <c r="K43" s="429"/>
      <c r="L43" s="429"/>
      <c r="M43" s="429"/>
      <c r="N43" s="429"/>
      <c r="O43" s="429"/>
      <c r="P43" s="429"/>
      <c r="Q43" s="429"/>
    </row>
    <row r="44" spans="1:17" ht="27" customHeight="1" thickBot="1" x14ac:dyDescent="0.35">
      <c r="A44" s="469"/>
      <c r="B44" s="349" t="s">
        <v>23</v>
      </c>
      <c r="C44" s="431" t="s">
        <v>57</v>
      </c>
      <c r="D44" s="431"/>
      <c r="E44" s="431"/>
      <c r="F44" s="431"/>
      <c r="G44" s="431"/>
      <c r="H44" s="431"/>
      <c r="I44" s="431"/>
      <c r="J44" s="352"/>
      <c r="K44" s="391"/>
      <c r="L44" s="391"/>
      <c r="M44" s="391"/>
      <c r="N44" s="391"/>
      <c r="O44" s="391"/>
      <c r="P44" s="391"/>
      <c r="Q44" s="391"/>
    </row>
    <row r="45" spans="1:17" ht="27" customHeight="1" x14ac:dyDescent="0.3">
      <c r="A45" s="464">
        <v>43689</v>
      </c>
      <c r="B45" s="356" t="s">
        <v>7</v>
      </c>
      <c r="C45" s="436" t="s">
        <v>58</v>
      </c>
      <c r="D45" s="436"/>
      <c r="E45" s="436"/>
      <c r="F45" s="436"/>
      <c r="G45" s="436"/>
      <c r="H45" s="436"/>
      <c r="I45" s="436"/>
      <c r="J45" s="367" t="s">
        <v>59</v>
      </c>
      <c r="K45" s="433" t="s">
        <v>60</v>
      </c>
      <c r="L45" s="433"/>
      <c r="M45" s="433"/>
      <c r="N45" s="433"/>
      <c r="O45" s="433"/>
      <c r="P45" s="433"/>
      <c r="Q45" s="433"/>
    </row>
    <row r="46" spans="1:17" ht="27" customHeight="1" x14ac:dyDescent="0.3">
      <c r="A46" s="465"/>
      <c r="B46" s="340" t="s">
        <v>7</v>
      </c>
      <c r="C46" s="430" t="s">
        <v>61</v>
      </c>
      <c r="D46" s="430"/>
      <c r="E46" s="430"/>
      <c r="F46" s="430"/>
      <c r="G46" s="430"/>
      <c r="H46" s="430"/>
      <c r="I46" s="430"/>
      <c r="J46" s="345" t="s">
        <v>62</v>
      </c>
      <c r="K46" s="429" t="s">
        <v>22</v>
      </c>
      <c r="L46" s="429"/>
      <c r="M46" s="429"/>
      <c r="N46" s="429"/>
      <c r="O46" s="429"/>
      <c r="P46" s="429"/>
      <c r="Q46" s="429"/>
    </row>
    <row r="47" spans="1:17" ht="27" customHeight="1" x14ac:dyDescent="0.3">
      <c r="A47" s="465"/>
      <c r="B47" s="340" t="s">
        <v>7</v>
      </c>
      <c r="C47" s="430" t="s">
        <v>63</v>
      </c>
      <c r="D47" s="430"/>
      <c r="E47" s="430"/>
      <c r="F47" s="430"/>
      <c r="G47" s="430"/>
      <c r="H47" s="430"/>
      <c r="I47" s="430"/>
      <c r="J47" s="345" t="s">
        <v>62</v>
      </c>
      <c r="K47" s="429" t="s">
        <v>22</v>
      </c>
      <c r="L47" s="429"/>
      <c r="M47" s="429"/>
      <c r="N47" s="429"/>
      <c r="O47" s="429"/>
      <c r="P47" s="429"/>
      <c r="Q47" s="429"/>
    </row>
    <row r="48" spans="1:17" ht="27" customHeight="1" x14ac:dyDescent="0.3">
      <c r="A48" s="465"/>
      <c r="B48" s="343" t="s">
        <v>11</v>
      </c>
      <c r="C48" s="430" t="s">
        <v>64</v>
      </c>
      <c r="D48" s="430"/>
      <c r="E48" s="430"/>
      <c r="F48" s="430"/>
      <c r="G48" s="430"/>
      <c r="H48" s="430"/>
      <c r="I48" s="430"/>
      <c r="J48" s="345" t="s">
        <v>59</v>
      </c>
      <c r="K48" s="429"/>
      <c r="L48" s="429"/>
      <c r="M48" s="429"/>
      <c r="N48" s="429"/>
      <c r="O48" s="429"/>
      <c r="P48" s="429"/>
      <c r="Q48" s="429"/>
    </row>
    <row r="49" spans="1:17" ht="27" customHeight="1" x14ac:dyDescent="0.3">
      <c r="A49" s="465"/>
      <c r="B49" s="343" t="s">
        <v>11</v>
      </c>
      <c r="C49" s="430" t="s">
        <v>65</v>
      </c>
      <c r="D49" s="430"/>
      <c r="E49" s="430"/>
      <c r="F49" s="430"/>
      <c r="G49" s="430"/>
      <c r="H49" s="430"/>
      <c r="I49" s="430"/>
      <c r="J49" s="345" t="s">
        <v>59</v>
      </c>
      <c r="K49" s="429"/>
      <c r="L49" s="429"/>
      <c r="M49" s="429"/>
      <c r="N49" s="429"/>
      <c r="O49" s="429"/>
      <c r="P49" s="429"/>
      <c r="Q49" s="429"/>
    </row>
    <row r="50" spans="1:17" ht="27" customHeight="1" x14ac:dyDescent="0.3">
      <c r="A50" s="465"/>
      <c r="B50" s="343" t="s">
        <v>11</v>
      </c>
      <c r="C50" s="430" t="s">
        <v>66</v>
      </c>
      <c r="D50" s="430"/>
      <c r="E50" s="430"/>
      <c r="F50" s="430"/>
      <c r="G50" s="430"/>
      <c r="H50" s="430"/>
      <c r="I50" s="430"/>
      <c r="J50" s="345" t="s">
        <v>59</v>
      </c>
      <c r="K50" s="429"/>
      <c r="L50" s="429"/>
      <c r="M50" s="429"/>
      <c r="N50" s="429"/>
      <c r="O50" s="429"/>
      <c r="P50" s="429"/>
      <c r="Q50" s="429"/>
    </row>
    <row r="51" spans="1:17" ht="27" customHeight="1" x14ac:dyDescent="0.3">
      <c r="A51" s="465"/>
      <c r="B51" s="343" t="s">
        <v>11</v>
      </c>
      <c r="C51" s="430" t="s">
        <v>67</v>
      </c>
      <c r="D51" s="430"/>
      <c r="E51" s="430"/>
      <c r="F51" s="430"/>
      <c r="G51" s="430"/>
      <c r="H51" s="430"/>
      <c r="I51" s="430"/>
      <c r="J51" s="345" t="s">
        <v>59</v>
      </c>
      <c r="K51" s="429"/>
      <c r="L51" s="429"/>
      <c r="M51" s="429"/>
      <c r="N51" s="429"/>
      <c r="O51" s="429"/>
      <c r="P51" s="429"/>
      <c r="Q51" s="429"/>
    </row>
    <row r="52" spans="1:17" ht="27" customHeight="1" x14ac:dyDescent="0.3">
      <c r="A52" s="465"/>
      <c r="B52" s="343" t="s">
        <v>11</v>
      </c>
      <c r="C52" s="430" t="s">
        <v>68</v>
      </c>
      <c r="D52" s="430"/>
      <c r="E52" s="430"/>
      <c r="F52" s="430"/>
      <c r="G52" s="430"/>
      <c r="H52" s="430"/>
      <c r="I52" s="430"/>
      <c r="J52" s="345" t="s">
        <v>59</v>
      </c>
      <c r="K52" s="429"/>
      <c r="L52" s="429"/>
      <c r="M52" s="429"/>
      <c r="N52" s="429"/>
      <c r="O52" s="429"/>
      <c r="P52" s="429"/>
      <c r="Q52" s="429"/>
    </row>
    <row r="53" spans="1:17" ht="42" customHeight="1" x14ac:dyDescent="0.3">
      <c r="A53" s="465"/>
      <c r="B53" s="343" t="s">
        <v>11</v>
      </c>
      <c r="C53" s="430" t="s">
        <v>69</v>
      </c>
      <c r="D53" s="430"/>
      <c r="E53" s="430"/>
      <c r="F53" s="430"/>
      <c r="G53" s="430"/>
      <c r="H53" s="430"/>
      <c r="I53" s="430"/>
      <c r="J53" s="345" t="s">
        <v>59</v>
      </c>
      <c r="K53" s="396"/>
      <c r="L53" s="396"/>
      <c r="M53" s="396"/>
      <c r="N53" s="396"/>
      <c r="O53" s="396"/>
      <c r="P53" s="396"/>
      <c r="Q53" s="396"/>
    </row>
    <row r="54" spans="1:17" ht="27" customHeight="1" x14ac:dyDescent="0.3">
      <c r="A54" s="465"/>
      <c r="B54" s="343" t="s">
        <v>11</v>
      </c>
      <c r="C54" s="430" t="s">
        <v>70</v>
      </c>
      <c r="D54" s="430"/>
      <c r="E54" s="430"/>
      <c r="F54" s="430"/>
      <c r="G54" s="430"/>
      <c r="H54" s="430"/>
      <c r="I54" s="430"/>
      <c r="J54" s="345" t="s">
        <v>62</v>
      </c>
      <c r="K54" s="429"/>
      <c r="L54" s="429"/>
      <c r="M54" s="429"/>
      <c r="N54" s="429"/>
      <c r="O54" s="429"/>
      <c r="P54" s="429"/>
      <c r="Q54" s="429"/>
    </row>
    <row r="55" spans="1:17" ht="27" customHeight="1" x14ac:dyDescent="0.3">
      <c r="A55" s="465"/>
      <c r="B55" s="343" t="s">
        <v>11</v>
      </c>
      <c r="C55" s="430" t="s">
        <v>71</v>
      </c>
      <c r="D55" s="430"/>
      <c r="E55" s="430"/>
      <c r="F55" s="430"/>
      <c r="G55" s="430"/>
      <c r="H55" s="430"/>
      <c r="I55" s="430"/>
      <c r="J55" s="345" t="s">
        <v>62</v>
      </c>
      <c r="K55" s="429"/>
      <c r="L55" s="429"/>
      <c r="M55" s="429"/>
      <c r="N55" s="429"/>
      <c r="O55" s="429"/>
      <c r="P55" s="429"/>
      <c r="Q55" s="429"/>
    </row>
    <row r="56" spans="1:17" ht="27" customHeight="1" x14ac:dyDescent="0.3">
      <c r="A56" s="465"/>
      <c r="B56" s="343" t="s">
        <v>11</v>
      </c>
      <c r="C56" s="430" t="s">
        <v>72</v>
      </c>
      <c r="D56" s="430"/>
      <c r="E56" s="430"/>
      <c r="F56" s="430"/>
      <c r="G56" s="430"/>
      <c r="H56" s="430"/>
      <c r="I56" s="430"/>
      <c r="J56" s="345" t="s">
        <v>62</v>
      </c>
      <c r="K56" s="429"/>
      <c r="L56" s="429"/>
      <c r="M56" s="429"/>
      <c r="N56" s="429"/>
      <c r="O56" s="429"/>
      <c r="P56" s="429"/>
      <c r="Q56" s="429"/>
    </row>
    <row r="57" spans="1:17" ht="27" customHeight="1" x14ac:dyDescent="0.3">
      <c r="A57" s="465"/>
      <c r="B57" s="343" t="s">
        <v>15</v>
      </c>
      <c r="C57" s="430" t="s">
        <v>73</v>
      </c>
      <c r="D57" s="430"/>
      <c r="E57" s="430"/>
      <c r="F57" s="430"/>
      <c r="G57" s="430"/>
      <c r="H57" s="430"/>
      <c r="I57" s="430"/>
      <c r="J57" s="344"/>
      <c r="K57" s="429"/>
      <c r="L57" s="429"/>
      <c r="M57" s="429"/>
      <c r="N57" s="429"/>
      <c r="O57" s="429"/>
      <c r="P57" s="429"/>
      <c r="Q57" s="429"/>
    </row>
    <row r="58" spans="1:17" ht="27" customHeight="1" x14ac:dyDescent="0.3">
      <c r="A58" s="465"/>
      <c r="B58" s="343" t="s">
        <v>15</v>
      </c>
      <c r="C58" s="430" t="s">
        <v>74</v>
      </c>
      <c r="D58" s="430"/>
      <c r="E58" s="430"/>
      <c r="F58" s="430"/>
      <c r="G58" s="430"/>
      <c r="H58" s="430"/>
      <c r="I58" s="430"/>
      <c r="J58" s="344"/>
      <c r="K58" s="429"/>
      <c r="L58" s="429"/>
      <c r="M58" s="429"/>
      <c r="N58" s="429"/>
      <c r="O58" s="429"/>
      <c r="P58" s="429"/>
      <c r="Q58" s="429"/>
    </row>
    <row r="59" spans="1:17" ht="27" customHeight="1" x14ac:dyDescent="0.3">
      <c r="A59" s="465"/>
      <c r="B59" s="343" t="s">
        <v>15</v>
      </c>
      <c r="C59" s="430" t="s">
        <v>75</v>
      </c>
      <c r="D59" s="430"/>
      <c r="E59" s="430"/>
      <c r="F59" s="430"/>
      <c r="G59" s="430"/>
      <c r="H59" s="430"/>
      <c r="I59" s="430"/>
      <c r="J59" s="344"/>
      <c r="K59" s="429"/>
      <c r="L59" s="429"/>
      <c r="M59" s="429"/>
      <c r="N59" s="429"/>
      <c r="O59" s="429"/>
      <c r="P59" s="429"/>
      <c r="Q59" s="429"/>
    </row>
    <row r="60" spans="1:17" ht="27" customHeight="1" x14ac:dyDescent="0.3">
      <c r="A60" s="465"/>
      <c r="B60" s="343" t="s">
        <v>15</v>
      </c>
      <c r="C60" s="430" t="s">
        <v>76</v>
      </c>
      <c r="D60" s="430"/>
      <c r="E60" s="430"/>
      <c r="F60" s="430"/>
      <c r="G60" s="430"/>
      <c r="H60" s="430"/>
      <c r="I60" s="430"/>
      <c r="J60" s="344"/>
      <c r="K60" s="429"/>
      <c r="L60" s="429"/>
      <c r="M60" s="429"/>
      <c r="N60" s="429"/>
      <c r="O60" s="429"/>
      <c r="P60" s="429"/>
      <c r="Q60" s="429"/>
    </row>
    <row r="61" spans="1:17" ht="27" customHeight="1" x14ac:dyDescent="0.3">
      <c r="A61" s="465"/>
      <c r="B61" s="343" t="s">
        <v>19</v>
      </c>
      <c r="C61" s="430" t="s">
        <v>77</v>
      </c>
      <c r="D61" s="430"/>
      <c r="E61" s="430"/>
      <c r="F61" s="430"/>
      <c r="G61" s="430"/>
      <c r="H61" s="430"/>
      <c r="I61" s="430"/>
      <c r="J61" s="344"/>
      <c r="K61" s="429"/>
      <c r="L61" s="429"/>
      <c r="M61" s="429"/>
      <c r="N61" s="429"/>
      <c r="O61" s="429"/>
      <c r="P61" s="429"/>
      <c r="Q61" s="429"/>
    </row>
    <row r="62" spans="1:17" ht="27" customHeight="1" x14ac:dyDescent="0.3">
      <c r="A62" s="465"/>
      <c r="B62" s="343" t="s">
        <v>19</v>
      </c>
      <c r="C62" s="430" t="s">
        <v>78</v>
      </c>
      <c r="D62" s="430"/>
      <c r="E62" s="430"/>
      <c r="F62" s="430"/>
      <c r="G62" s="430"/>
      <c r="H62" s="430"/>
      <c r="I62" s="430"/>
      <c r="J62" s="344"/>
      <c r="K62" s="429"/>
      <c r="L62" s="429"/>
      <c r="M62" s="429"/>
      <c r="N62" s="429"/>
      <c r="O62" s="429"/>
      <c r="P62" s="429"/>
      <c r="Q62" s="429"/>
    </row>
    <row r="63" spans="1:17" ht="27" customHeight="1" x14ac:dyDescent="0.3">
      <c r="A63" s="465"/>
      <c r="B63" s="343" t="s">
        <v>19</v>
      </c>
      <c r="C63" s="430" t="s">
        <v>79</v>
      </c>
      <c r="D63" s="430"/>
      <c r="E63" s="430"/>
      <c r="F63" s="430"/>
      <c r="G63" s="430"/>
      <c r="H63" s="430"/>
      <c r="I63" s="430"/>
      <c r="J63" s="344"/>
      <c r="K63" s="429"/>
      <c r="L63" s="429"/>
      <c r="M63" s="429"/>
      <c r="N63" s="429"/>
      <c r="O63" s="429"/>
      <c r="P63" s="429"/>
      <c r="Q63" s="429"/>
    </row>
    <row r="64" spans="1:17" ht="27" customHeight="1" x14ac:dyDescent="0.3">
      <c r="A64" s="465"/>
      <c r="B64" s="343" t="s">
        <v>19</v>
      </c>
      <c r="C64" s="430" t="s">
        <v>80</v>
      </c>
      <c r="D64" s="430"/>
      <c r="E64" s="430"/>
      <c r="F64" s="430"/>
      <c r="G64" s="430"/>
      <c r="H64" s="430"/>
      <c r="I64" s="430"/>
      <c r="J64" s="344"/>
      <c r="K64" s="429"/>
      <c r="L64" s="429"/>
      <c r="M64" s="429"/>
      <c r="N64" s="429"/>
      <c r="O64" s="429"/>
      <c r="P64" s="429"/>
      <c r="Q64" s="429"/>
    </row>
    <row r="65" spans="1:17" ht="27" customHeight="1" x14ac:dyDescent="0.3">
      <c r="A65" s="465"/>
      <c r="B65" s="343" t="s">
        <v>19</v>
      </c>
      <c r="C65" s="430" t="s">
        <v>81</v>
      </c>
      <c r="D65" s="430"/>
      <c r="E65" s="430"/>
      <c r="F65" s="430"/>
      <c r="G65" s="430"/>
      <c r="H65" s="430"/>
      <c r="I65" s="430"/>
      <c r="J65" s="344"/>
      <c r="K65" s="429"/>
      <c r="L65" s="429"/>
      <c r="M65" s="429"/>
      <c r="N65" s="429"/>
      <c r="O65" s="429"/>
      <c r="P65" s="429"/>
      <c r="Q65" s="429"/>
    </row>
    <row r="66" spans="1:17" ht="27" customHeight="1" x14ac:dyDescent="0.3">
      <c r="A66" s="465"/>
      <c r="B66" s="343" t="s">
        <v>19</v>
      </c>
      <c r="C66" s="430" t="s">
        <v>82</v>
      </c>
      <c r="D66" s="430"/>
      <c r="E66" s="430"/>
      <c r="F66" s="430"/>
      <c r="G66" s="430"/>
      <c r="H66" s="430"/>
      <c r="I66" s="430"/>
      <c r="J66" s="344"/>
      <c r="K66" s="429"/>
      <c r="L66" s="429"/>
      <c r="M66" s="429"/>
      <c r="N66" s="429"/>
      <c r="O66" s="429"/>
      <c r="P66" s="429"/>
      <c r="Q66" s="429"/>
    </row>
    <row r="67" spans="1:17" ht="27" customHeight="1" x14ac:dyDescent="0.3">
      <c r="A67" s="465"/>
      <c r="B67" s="343" t="s">
        <v>19</v>
      </c>
      <c r="C67" s="430" t="s">
        <v>83</v>
      </c>
      <c r="D67" s="430"/>
      <c r="E67" s="430"/>
      <c r="F67" s="430"/>
      <c r="G67" s="430"/>
      <c r="H67" s="430"/>
      <c r="I67" s="430"/>
      <c r="J67" s="344"/>
      <c r="K67" s="429"/>
      <c r="L67" s="429"/>
      <c r="M67" s="429"/>
      <c r="N67" s="429"/>
      <c r="O67" s="429"/>
      <c r="P67" s="429"/>
      <c r="Q67" s="429"/>
    </row>
    <row r="68" spans="1:17" ht="27" customHeight="1" x14ac:dyDescent="0.3">
      <c r="A68" s="465"/>
      <c r="B68" s="343" t="s">
        <v>19</v>
      </c>
      <c r="C68" s="430" t="s">
        <v>84</v>
      </c>
      <c r="D68" s="430"/>
      <c r="E68" s="430"/>
      <c r="F68" s="430"/>
      <c r="G68" s="430"/>
      <c r="H68" s="430"/>
      <c r="I68" s="430"/>
      <c r="J68" s="344"/>
      <c r="K68" s="429"/>
      <c r="L68" s="429"/>
      <c r="M68" s="429"/>
      <c r="N68" s="429"/>
      <c r="O68" s="429"/>
      <c r="P68" s="429"/>
      <c r="Q68" s="429"/>
    </row>
    <row r="69" spans="1:17" ht="27" customHeight="1" x14ac:dyDescent="0.3">
      <c r="A69" s="465"/>
      <c r="B69" s="343" t="s">
        <v>19</v>
      </c>
      <c r="C69" s="430" t="s">
        <v>85</v>
      </c>
      <c r="D69" s="430"/>
      <c r="E69" s="430"/>
      <c r="F69" s="430"/>
      <c r="G69" s="430"/>
      <c r="H69" s="430"/>
      <c r="I69" s="430"/>
      <c r="J69" s="344"/>
      <c r="K69" s="429"/>
      <c r="L69" s="429"/>
      <c r="M69" s="429"/>
      <c r="N69" s="429"/>
      <c r="O69" s="429"/>
      <c r="P69" s="429"/>
      <c r="Q69" s="429"/>
    </row>
    <row r="70" spans="1:17" ht="27" customHeight="1" x14ac:dyDescent="0.3">
      <c r="A70" s="465"/>
      <c r="B70" s="343" t="s">
        <v>23</v>
      </c>
      <c r="C70" s="430" t="s">
        <v>86</v>
      </c>
      <c r="D70" s="430"/>
      <c r="E70" s="430"/>
      <c r="F70" s="430"/>
      <c r="G70" s="430"/>
      <c r="H70" s="430"/>
      <c r="I70" s="430"/>
      <c r="J70" s="345" t="s">
        <v>59</v>
      </c>
      <c r="K70" s="429"/>
      <c r="L70" s="429"/>
      <c r="M70" s="429"/>
      <c r="N70" s="429"/>
      <c r="O70" s="429"/>
      <c r="P70" s="429"/>
      <c r="Q70" s="429"/>
    </row>
    <row r="71" spans="1:17" ht="27" customHeight="1" x14ac:dyDescent="0.3">
      <c r="A71" s="465"/>
      <c r="B71" s="343" t="s">
        <v>23</v>
      </c>
      <c r="C71" s="430" t="s">
        <v>87</v>
      </c>
      <c r="D71" s="430"/>
      <c r="E71" s="430"/>
      <c r="F71" s="430"/>
      <c r="G71" s="430"/>
      <c r="H71" s="430"/>
      <c r="I71" s="430"/>
      <c r="J71" s="345" t="s">
        <v>59</v>
      </c>
      <c r="K71" s="429"/>
      <c r="L71" s="429"/>
      <c r="M71" s="429"/>
      <c r="N71" s="429"/>
      <c r="O71" s="429"/>
      <c r="P71" s="429"/>
      <c r="Q71" s="429"/>
    </row>
    <row r="72" spans="1:17" ht="27" customHeight="1" thickBot="1" x14ac:dyDescent="0.35">
      <c r="A72" s="466"/>
      <c r="B72" s="349" t="s">
        <v>23</v>
      </c>
      <c r="C72" s="431" t="s">
        <v>90</v>
      </c>
      <c r="D72" s="431"/>
      <c r="E72" s="431"/>
      <c r="F72" s="431"/>
      <c r="G72" s="431"/>
      <c r="H72" s="431"/>
      <c r="I72" s="431"/>
      <c r="J72" s="350" t="s">
        <v>59</v>
      </c>
      <c r="K72" s="432"/>
      <c r="L72" s="432"/>
      <c r="M72" s="432"/>
      <c r="N72" s="432"/>
      <c r="O72" s="432"/>
      <c r="P72" s="432"/>
      <c r="Q72" s="432"/>
    </row>
    <row r="73" spans="1:17" ht="27" customHeight="1" x14ac:dyDescent="0.3">
      <c r="A73" s="390"/>
      <c r="B73" s="293"/>
      <c r="C73" s="351"/>
      <c r="D73" s="351"/>
      <c r="E73" s="351"/>
      <c r="F73" s="351"/>
      <c r="G73" s="351"/>
      <c r="H73" s="351"/>
      <c r="I73" s="351"/>
      <c r="J73" s="335"/>
      <c r="K73" s="334"/>
      <c r="L73" s="334"/>
      <c r="M73" s="334"/>
      <c r="N73" s="334"/>
      <c r="O73" s="334"/>
      <c r="P73" s="334"/>
      <c r="Q73" s="334"/>
    </row>
    <row r="74" spans="1:17" ht="27" customHeight="1" x14ac:dyDescent="0.3">
      <c r="A74" s="342"/>
      <c r="B74" s="343"/>
      <c r="C74" s="430"/>
      <c r="D74" s="430"/>
      <c r="E74" s="430"/>
      <c r="F74" s="430"/>
      <c r="G74" s="430"/>
      <c r="H74" s="430"/>
      <c r="I74" s="430"/>
      <c r="J74" s="344"/>
      <c r="K74" s="429"/>
      <c r="L74" s="429"/>
      <c r="M74" s="429"/>
      <c r="N74" s="429"/>
      <c r="O74" s="429"/>
      <c r="P74" s="429"/>
      <c r="Q74" s="429"/>
    </row>
    <row r="75" spans="1:17" ht="27" customHeight="1" x14ac:dyDescent="0.3">
      <c r="A75" s="342"/>
      <c r="B75" s="343"/>
      <c r="C75" s="430"/>
      <c r="D75" s="430"/>
      <c r="E75" s="430"/>
      <c r="F75" s="430"/>
      <c r="G75" s="430"/>
      <c r="H75" s="430"/>
      <c r="I75" s="430"/>
      <c r="J75" s="344"/>
      <c r="K75" s="429"/>
      <c r="L75" s="429"/>
      <c r="M75" s="429"/>
      <c r="N75" s="429"/>
      <c r="O75" s="429"/>
      <c r="P75" s="429"/>
      <c r="Q75" s="429"/>
    </row>
    <row r="76" spans="1:17" x14ac:dyDescent="0.3">
      <c r="B76" s="359"/>
      <c r="C76" s="359"/>
      <c r="D76" s="359"/>
      <c r="E76" s="359"/>
      <c r="F76" s="359"/>
      <c r="G76" s="359"/>
      <c r="H76" s="359"/>
      <c r="I76" s="359"/>
    </row>
    <row r="77" spans="1:17" x14ac:dyDescent="0.3">
      <c r="B77" s="359"/>
      <c r="C77" s="359"/>
      <c r="D77" s="359"/>
      <c r="E77" s="359"/>
      <c r="F77" s="359"/>
      <c r="G77" s="359"/>
      <c r="H77" s="359"/>
      <c r="I77" s="359"/>
    </row>
    <row r="78" spans="1:17" x14ac:dyDescent="0.3">
      <c r="B78" s="1"/>
      <c r="D78" s="1"/>
      <c r="E78" s="1"/>
      <c r="F78" s="1"/>
      <c r="G78" s="1"/>
      <c r="H78" s="1"/>
      <c r="I78" s="1"/>
    </row>
    <row r="79" spans="1:17" x14ac:dyDescent="0.3">
      <c r="B79" s="1"/>
      <c r="D79" s="1"/>
      <c r="E79" s="1"/>
      <c r="F79" s="1"/>
      <c r="G79" s="1"/>
      <c r="H79" s="1"/>
      <c r="I79" s="1"/>
    </row>
    <row r="80" spans="1:17" x14ac:dyDescent="0.3">
      <c r="B80" s="1"/>
      <c r="D80" s="1"/>
      <c r="E80" s="1"/>
      <c r="F80" s="1"/>
      <c r="G80" s="1"/>
      <c r="H80" s="1"/>
      <c r="I80" s="1"/>
      <c r="K80" s="1"/>
      <c r="L80" s="1"/>
      <c r="M80" s="1"/>
      <c r="N80" s="1"/>
      <c r="O80" s="1"/>
      <c r="P80" s="1"/>
      <c r="Q80" s="1"/>
    </row>
    <row r="81" spans="2:17" x14ac:dyDescent="0.3">
      <c r="B81" s="1"/>
      <c r="D81" s="1"/>
      <c r="E81" s="1"/>
      <c r="F81" s="1"/>
      <c r="G81" s="1"/>
      <c r="H81" s="1"/>
      <c r="I81" s="1"/>
      <c r="K81" s="1"/>
      <c r="L81" s="1"/>
      <c r="M81" s="1"/>
      <c r="N81" s="1"/>
      <c r="O81" s="1"/>
      <c r="P81" s="1"/>
      <c r="Q81" s="1"/>
    </row>
    <row r="82" spans="2:17" x14ac:dyDescent="0.3">
      <c r="B82" s="1"/>
      <c r="D82" s="1"/>
      <c r="E82" s="1"/>
      <c r="F82" s="1"/>
      <c r="G82" s="1"/>
      <c r="H82" s="1"/>
      <c r="I82" s="1"/>
      <c r="K82" s="1"/>
      <c r="L82" s="1"/>
      <c r="M82" s="1"/>
      <c r="N82" s="1"/>
      <c r="O82" s="1"/>
      <c r="P82" s="1"/>
      <c r="Q82" s="1"/>
    </row>
    <row r="83" spans="2:17" x14ac:dyDescent="0.3">
      <c r="B83" s="1"/>
      <c r="D83" s="1"/>
      <c r="E83" s="1"/>
      <c r="F83" s="1"/>
      <c r="G83" s="1"/>
      <c r="H83" s="1"/>
      <c r="I83" s="1"/>
      <c r="K83" s="1"/>
      <c r="L83" s="1"/>
      <c r="M83" s="1"/>
      <c r="N83" s="1"/>
      <c r="O83" s="1"/>
      <c r="P83" s="1"/>
      <c r="Q83" s="1"/>
    </row>
    <row r="84" spans="2:17" x14ac:dyDescent="0.3">
      <c r="B84" s="1"/>
      <c r="D84" s="1"/>
      <c r="E84" s="1"/>
      <c r="F84" s="1"/>
      <c r="G84" s="1"/>
      <c r="H84" s="1"/>
      <c r="I84" s="1"/>
      <c r="K84" s="1"/>
      <c r="L84" s="1"/>
      <c r="M84" s="1"/>
      <c r="N84" s="1"/>
      <c r="O84" s="1"/>
      <c r="P84" s="1"/>
      <c r="Q84" s="1"/>
    </row>
    <row r="85" spans="2:17" x14ac:dyDescent="0.3">
      <c r="B85" s="1"/>
      <c r="D85" s="1"/>
      <c r="E85" s="1"/>
      <c r="F85" s="1"/>
      <c r="G85" s="1"/>
      <c r="H85" s="1"/>
      <c r="I85" s="1"/>
      <c r="K85" s="1"/>
      <c r="L85" s="1"/>
      <c r="M85" s="1"/>
      <c r="N85" s="1"/>
      <c r="O85" s="1"/>
      <c r="P85" s="1"/>
      <c r="Q85" s="1"/>
    </row>
    <row r="86" spans="2:17" x14ac:dyDescent="0.3">
      <c r="B86" s="1"/>
      <c r="D86" s="1"/>
      <c r="E86" s="1"/>
      <c r="F86" s="1"/>
      <c r="G86" s="1"/>
      <c r="H86" s="1"/>
      <c r="I86" s="1"/>
      <c r="K86" s="1"/>
      <c r="L86" s="1"/>
      <c r="M86" s="1"/>
      <c r="N86" s="1"/>
      <c r="O86" s="1"/>
      <c r="P86" s="1"/>
      <c r="Q86" s="1"/>
    </row>
    <row r="87" spans="2:17" x14ac:dyDescent="0.3">
      <c r="B87" s="1"/>
      <c r="D87" s="1"/>
      <c r="E87" s="1"/>
      <c r="F87" s="1"/>
      <c r="G87" s="1"/>
      <c r="H87" s="1"/>
      <c r="I87" s="1"/>
      <c r="K87" s="1"/>
      <c r="L87" s="1"/>
      <c r="M87" s="1"/>
      <c r="N87" s="1"/>
      <c r="O87" s="1"/>
      <c r="P87" s="1"/>
      <c r="Q87" s="1"/>
    </row>
    <row r="88" spans="2:17" x14ac:dyDescent="0.3">
      <c r="B88" s="1"/>
      <c r="D88" s="1"/>
      <c r="E88" s="1"/>
      <c r="F88" s="1"/>
      <c r="G88" s="1"/>
      <c r="H88" s="1"/>
      <c r="I88" s="1"/>
      <c r="K88" s="1"/>
      <c r="L88" s="1"/>
      <c r="M88" s="1"/>
      <c r="N88" s="1"/>
      <c r="O88" s="1"/>
      <c r="P88" s="1"/>
      <c r="Q88" s="1"/>
    </row>
    <row r="89" spans="2:17" x14ac:dyDescent="0.3">
      <c r="B89" s="1"/>
      <c r="D89" s="1"/>
      <c r="E89" s="1"/>
      <c r="F89" s="1"/>
      <c r="G89" s="1"/>
      <c r="H89" s="1"/>
      <c r="I89" s="1"/>
      <c r="K89" s="1"/>
      <c r="L89" s="1"/>
      <c r="M89" s="1"/>
      <c r="N89" s="1"/>
      <c r="O89" s="1"/>
      <c r="P89" s="1"/>
      <c r="Q89" s="1"/>
    </row>
    <row r="90" spans="2:17" x14ac:dyDescent="0.3">
      <c r="B90" s="1"/>
      <c r="D90" s="1"/>
      <c r="E90" s="1"/>
      <c r="F90" s="1"/>
      <c r="G90" s="1"/>
      <c r="H90" s="1"/>
      <c r="I90" s="1"/>
      <c r="K90" s="1"/>
      <c r="L90" s="1"/>
      <c r="M90" s="1"/>
      <c r="N90" s="1"/>
      <c r="O90" s="1"/>
      <c r="P90" s="1"/>
      <c r="Q90" s="1"/>
    </row>
    <row r="91" spans="2:17" x14ac:dyDescent="0.3">
      <c r="B91" s="1"/>
      <c r="D91" s="1"/>
      <c r="E91" s="1"/>
      <c r="F91" s="1"/>
      <c r="G91" s="1"/>
      <c r="H91" s="1"/>
      <c r="I91" s="1"/>
      <c r="K91" s="1"/>
      <c r="L91" s="1"/>
      <c r="M91" s="1"/>
      <c r="N91" s="1"/>
      <c r="O91" s="1"/>
      <c r="P91" s="1"/>
      <c r="Q91" s="1"/>
    </row>
    <row r="92" spans="2:17" x14ac:dyDescent="0.3">
      <c r="B92" s="1"/>
      <c r="D92" s="1"/>
      <c r="E92" s="1"/>
      <c r="F92" s="1"/>
      <c r="G92" s="1"/>
      <c r="H92" s="1"/>
      <c r="I92" s="1"/>
      <c r="K92" s="1"/>
      <c r="L92" s="1"/>
      <c r="M92" s="1"/>
      <c r="N92" s="1"/>
      <c r="O92" s="1"/>
      <c r="P92" s="1"/>
      <c r="Q92" s="1"/>
    </row>
    <row r="93" spans="2:17" x14ac:dyDescent="0.3">
      <c r="B93" s="1"/>
      <c r="D93" s="1"/>
      <c r="E93" s="1"/>
      <c r="F93" s="1"/>
      <c r="G93" s="1"/>
      <c r="H93" s="1"/>
      <c r="I93" s="1"/>
      <c r="K93" s="1"/>
      <c r="L93" s="1"/>
      <c r="M93" s="1"/>
      <c r="N93" s="1"/>
      <c r="O93" s="1"/>
      <c r="P93" s="1"/>
      <c r="Q93" s="1"/>
    </row>
    <row r="94" spans="2:17" x14ac:dyDescent="0.3">
      <c r="B94" s="1"/>
      <c r="D94" s="1"/>
      <c r="E94" s="1"/>
      <c r="F94" s="1"/>
      <c r="G94" s="1"/>
      <c r="H94" s="1"/>
      <c r="I94" s="1"/>
      <c r="K94" s="1"/>
      <c r="L94" s="1"/>
      <c r="M94" s="1"/>
      <c r="N94" s="1"/>
      <c r="O94" s="1"/>
      <c r="P94" s="1"/>
      <c r="Q94" s="1"/>
    </row>
    <row r="95" spans="2:17" x14ac:dyDescent="0.3">
      <c r="B95" s="1"/>
      <c r="D95" s="1"/>
      <c r="E95" s="1"/>
      <c r="F95" s="1"/>
      <c r="G95" s="1"/>
      <c r="H95" s="1"/>
      <c r="I95" s="1"/>
      <c r="K95" s="1"/>
      <c r="L95" s="1"/>
      <c r="M95" s="1"/>
      <c r="N95" s="1"/>
      <c r="O95" s="1"/>
      <c r="P95" s="1"/>
      <c r="Q95" s="1"/>
    </row>
    <row r="96" spans="2:17" x14ac:dyDescent="0.3">
      <c r="B96" s="1"/>
      <c r="D96" s="1"/>
      <c r="E96" s="1"/>
      <c r="F96" s="1"/>
      <c r="G96" s="1"/>
      <c r="H96" s="1"/>
      <c r="I96" s="1"/>
      <c r="K96" s="1"/>
      <c r="L96" s="1"/>
      <c r="M96" s="1"/>
      <c r="N96" s="1"/>
      <c r="O96" s="1"/>
      <c r="P96" s="1"/>
      <c r="Q96" s="1"/>
    </row>
    <row r="97" spans="2:17" x14ac:dyDescent="0.3">
      <c r="B97" s="1"/>
      <c r="D97" s="1"/>
      <c r="E97" s="1"/>
      <c r="F97" s="1"/>
      <c r="G97" s="1"/>
      <c r="H97" s="1"/>
      <c r="I97" s="1"/>
      <c r="K97" s="1"/>
      <c r="L97" s="1"/>
      <c r="M97" s="1"/>
      <c r="N97" s="1"/>
      <c r="O97" s="1"/>
      <c r="P97" s="1"/>
      <c r="Q97" s="1"/>
    </row>
    <row r="98" spans="2:17" x14ac:dyDescent="0.3">
      <c r="B98" s="1"/>
      <c r="D98" s="1"/>
      <c r="E98" s="1"/>
      <c r="F98" s="1"/>
      <c r="G98" s="1"/>
      <c r="H98" s="1"/>
      <c r="I98" s="1"/>
      <c r="K98" s="1"/>
      <c r="L98" s="1"/>
      <c r="M98" s="1"/>
      <c r="N98" s="1"/>
      <c r="O98" s="1"/>
      <c r="P98" s="1"/>
      <c r="Q98" s="1"/>
    </row>
    <row r="99" spans="2:17" x14ac:dyDescent="0.3">
      <c r="B99" s="1"/>
      <c r="D99" s="1"/>
      <c r="E99" s="1"/>
      <c r="F99" s="1"/>
      <c r="G99" s="1"/>
      <c r="H99" s="1"/>
      <c r="I99" s="1"/>
      <c r="K99" s="1"/>
      <c r="L99" s="1"/>
      <c r="M99" s="1"/>
      <c r="N99" s="1"/>
      <c r="O99" s="1"/>
      <c r="P99" s="1"/>
      <c r="Q99" s="1"/>
    </row>
    <row r="100" spans="2:17" x14ac:dyDescent="0.3">
      <c r="B100" s="1"/>
      <c r="D100" s="1"/>
      <c r="E100" s="1"/>
      <c r="F100" s="1"/>
      <c r="G100" s="1"/>
      <c r="H100" s="1"/>
      <c r="I100" s="1"/>
      <c r="K100" s="1"/>
      <c r="L100" s="1"/>
      <c r="M100" s="1"/>
      <c r="N100" s="1"/>
      <c r="O100" s="1"/>
      <c r="P100" s="1"/>
      <c r="Q100" s="1"/>
    </row>
    <row r="101" spans="2:17" x14ac:dyDescent="0.3">
      <c r="B101" s="1"/>
      <c r="D101" s="1"/>
      <c r="E101" s="1"/>
      <c r="F101" s="1"/>
      <c r="G101" s="1"/>
      <c r="H101" s="1"/>
      <c r="I101" s="1"/>
      <c r="K101" s="1"/>
      <c r="L101" s="1"/>
      <c r="M101" s="1"/>
      <c r="N101" s="1"/>
      <c r="O101" s="1"/>
      <c r="P101" s="1"/>
      <c r="Q101" s="1"/>
    </row>
    <row r="102" spans="2:17" x14ac:dyDescent="0.3">
      <c r="B102" s="1"/>
      <c r="D102" s="1"/>
      <c r="E102" s="1"/>
      <c r="F102" s="1"/>
      <c r="G102" s="1"/>
      <c r="H102" s="1"/>
      <c r="I102" s="1"/>
      <c r="K102" s="1"/>
      <c r="L102" s="1"/>
      <c r="M102" s="1"/>
      <c r="N102" s="1"/>
      <c r="O102" s="1"/>
      <c r="P102" s="1"/>
      <c r="Q102" s="1"/>
    </row>
    <row r="103" spans="2:17" x14ac:dyDescent="0.3">
      <c r="B103" s="1"/>
      <c r="D103" s="1"/>
      <c r="E103" s="1"/>
      <c r="F103" s="1"/>
      <c r="G103" s="1"/>
      <c r="H103" s="1"/>
      <c r="I103" s="1"/>
      <c r="K103" s="1"/>
      <c r="L103" s="1"/>
      <c r="M103" s="1"/>
      <c r="N103" s="1"/>
      <c r="O103" s="1"/>
      <c r="P103" s="1"/>
      <c r="Q103" s="1"/>
    </row>
    <row r="104" spans="2:17" x14ac:dyDescent="0.3">
      <c r="B104" s="1"/>
      <c r="D104" s="1"/>
      <c r="E104" s="1"/>
      <c r="F104" s="1"/>
      <c r="G104" s="1"/>
      <c r="H104" s="1"/>
      <c r="I104" s="1"/>
      <c r="K104" s="1"/>
      <c r="L104" s="1"/>
      <c r="M104" s="1"/>
      <c r="N104" s="1"/>
      <c r="O104" s="1"/>
      <c r="P104" s="1"/>
      <c r="Q104" s="1"/>
    </row>
    <row r="105" spans="2:17" x14ac:dyDescent="0.3">
      <c r="B105" s="1"/>
      <c r="D105" s="1"/>
      <c r="E105" s="1"/>
      <c r="F105" s="1"/>
      <c r="G105" s="1"/>
      <c r="H105" s="1"/>
      <c r="I105" s="1"/>
      <c r="K105" s="1"/>
      <c r="L105" s="1"/>
      <c r="M105" s="1"/>
      <c r="N105" s="1"/>
      <c r="O105" s="1"/>
      <c r="P105" s="1"/>
      <c r="Q105" s="1"/>
    </row>
    <row r="106" spans="2:17" x14ac:dyDescent="0.3">
      <c r="B106" s="1"/>
      <c r="D106" s="1"/>
      <c r="E106" s="1"/>
      <c r="F106" s="1"/>
      <c r="G106" s="1"/>
      <c r="H106" s="1"/>
      <c r="I106" s="1"/>
      <c r="K106" s="1"/>
      <c r="L106" s="1"/>
      <c r="M106" s="1"/>
      <c r="N106" s="1"/>
      <c r="O106" s="1"/>
      <c r="P106" s="1"/>
      <c r="Q106" s="1"/>
    </row>
    <row r="107" spans="2:17" x14ac:dyDescent="0.3">
      <c r="B107" s="1"/>
      <c r="D107" s="1"/>
      <c r="E107" s="1"/>
      <c r="F107" s="1"/>
      <c r="G107" s="1"/>
      <c r="H107" s="1"/>
      <c r="I107" s="1"/>
      <c r="K107" s="1"/>
      <c r="L107" s="1"/>
      <c r="M107" s="1"/>
      <c r="N107" s="1"/>
      <c r="O107" s="1"/>
      <c r="P107" s="1"/>
      <c r="Q107" s="1"/>
    </row>
    <row r="108" spans="2:17" x14ac:dyDescent="0.3">
      <c r="B108" s="1"/>
      <c r="D108" s="1"/>
      <c r="E108" s="1"/>
      <c r="F108" s="1"/>
      <c r="G108" s="1"/>
      <c r="H108" s="1"/>
      <c r="I108" s="1"/>
      <c r="K108" s="1"/>
      <c r="L108" s="1"/>
      <c r="M108" s="1"/>
      <c r="N108" s="1"/>
      <c r="O108" s="1"/>
      <c r="P108" s="1"/>
      <c r="Q108" s="1"/>
    </row>
    <row r="109" spans="2:17" x14ac:dyDescent="0.3">
      <c r="B109" s="1"/>
      <c r="D109" s="1"/>
      <c r="E109" s="1"/>
      <c r="F109" s="1"/>
      <c r="G109" s="1"/>
      <c r="H109" s="1"/>
      <c r="I109" s="1"/>
      <c r="K109" s="1"/>
      <c r="L109" s="1"/>
      <c r="M109" s="1"/>
      <c r="N109" s="1"/>
      <c r="O109" s="1"/>
      <c r="P109" s="1"/>
      <c r="Q109" s="1"/>
    </row>
    <row r="110" spans="2:17" x14ac:dyDescent="0.3">
      <c r="B110" s="1"/>
      <c r="D110" s="1"/>
      <c r="E110" s="1"/>
      <c r="F110" s="1"/>
      <c r="G110" s="1"/>
      <c r="H110" s="1"/>
      <c r="I110" s="1"/>
      <c r="K110" s="1"/>
      <c r="L110" s="1"/>
      <c r="M110" s="1"/>
      <c r="N110" s="1"/>
      <c r="O110" s="1"/>
      <c r="P110" s="1"/>
      <c r="Q110" s="1"/>
    </row>
    <row r="111" spans="2:17" x14ac:dyDescent="0.3">
      <c r="B111" s="1"/>
      <c r="D111" s="1"/>
      <c r="E111" s="1"/>
      <c r="F111" s="1"/>
      <c r="G111" s="1"/>
      <c r="H111" s="1"/>
      <c r="I111" s="1"/>
      <c r="K111" s="1"/>
      <c r="L111" s="1"/>
      <c r="M111" s="1"/>
      <c r="N111" s="1"/>
      <c r="O111" s="1"/>
      <c r="P111" s="1"/>
      <c r="Q111" s="1"/>
    </row>
    <row r="112" spans="2:17" x14ac:dyDescent="0.3">
      <c r="B112" s="1"/>
      <c r="D112" s="1"/>
      <c r="E112" s="1"/>
      <c r="F112" s="1"/>
      <c r="G112" s="1"/>
      <c r="H112" s="1"/>
      <c r="I112" s="1"/>
      <c r="K112" s="1"/>
      <c r="L112" s="1"/>
      <c r="M112" s="1"/>
      <c r="N112" s="1"/>
      <c r="O112" s="1"/>
      <c r="P112" s="1"/>
      <c r="Q112" s="1"/>
    </row>
    <row r="113" spans="2:17" x14ac:dyDescent="0.3">
      <c r="B113" s="1"/>
      <c r="D113" s="1"/>
      <c r="E113" s="1"/>
      <c r="F113" s="1"/>
      <c r="G113" s="1"/>
      <c r="H113" s="1"/>
      <c r="I113" s="1"/>
      <c r="K113" s="1"/>
      <c r="L113" s="1"/>
      <c r="M113" s="1"/>
      <c r="N113" s="1"/>
      <c r="O113" s="1"/>
      <c r="P113" s="1"/>
      <c r="Q113" s="1"/>
    </row>
    <row r="114" spans="2:17" x14ac:dyDescent="0.3">
      <c r="B114" s="1"/>
      <c r="D114" s="1"/>
      <c r="E114" s="1"/>
      <c r="F114" s="1"/>
      <c r="G114" s="1"/>
      <c r="H114" s="1"/>
      <c r="I114" s="1"/>
      <c r="K114" s="1"/>
      <c r="L114" s="1"/>
      <c r="M114" s="1"/>
      <c r="N114" s="1"/>
      <c r="O114" s="1"/>
      <c r="P114" s="1"/>
      <c r="Q114" s="1"/>
    </row>
    <row r="115" spans="2:17" x14ac:dyDescent="0.3">
      <c r="B115" s="1"/>
      <c r="D115" s="1"/>
      <c r="E115" s="1"/>
      <c r="F115" s="1"/>
      <c r="G115" s="1"/>
      <c r="H115" s="1"/>
      <c r="I115" s="1"/>
      <c r="K115" s="1"/>
      <c r="L115" s="1"/>
      <c r="M115" s="1"/>
      <c r="N115" s="1"/>
      <c r="O115" s="1"/>
      <c r="P115" s="1"/>
      <c r="Q115" s="1"/>
    </row>
    <row r="116" spans="2:17" x14ac:dyDescent="0.3">
      <c r="B116" s="1"/>
      <c r="D116" s="1"/>
      <c r="E116" s="1"/>
      <c r="F116" s="1"/>
      <c r="G116" s="1"/>
      <c r="H116" s="1"/>
      <c r="I116" s="1"/>
      <c r="K116" s="1"/>
      <c r="L116" s="1"/>
      <c r="M116" s="1"/>
      <c r="N116" s="1"/>
      <c r="O116" s="1"/>
      <c r="P116" s="1"/>
      <c r="Q116" s="1"/>
    </row>
    <row r="117" spans="2:17" x14ac:dyDescent="0.3">
      <c r="B117" s="1"/>
      <c r="D117" s="1"/>
      <c r="E117" s="1"/>
      <c r="F117" s="1"/>
      <c r="G117" s="1"/>
      <c r="H117" s="1"/>
      <c r="I117" s="1"/>
      <c r="K117" s="1"/>
      <c r="L117" s="1"/>
      <c r="M117" s="1"/>
      <c r="N117" s="1"/>
      <c r="O117" s="1"/>
      <c r="P117" s="1"/>
      <c r="Q117" s="1"/>
    </row>
    <row r="118" spans="2:17" x14ac:dyDescent="0.3">
      <c r="B118" s="1"/>
      <c r="D118" s="1"/>
      <c r="E118" s="1"/>
      <c r="F118" s="1"/>
      <c r="G118" s="1"/>
      <c r="H118" s="1"/>
      <c r="I118" s="1"/>
      <c r="K118" s="1"/>
      <c r="L118" s="1"/>
      <c r="M118" s="1"/>
      <c r="N118" s="1"/>
      <c r="O118" s="1"/>
      <c r="P118" s="1"/>
      <c r="Q118" s="1"/>
    </row>
    <row r="119" spans="2:17" x14ac:dyDescent="0.3">
      <c r="B119" s="1"/>
      <c r="D119" s="1"/>
      <c r="E119" s="1"/>
      <c r="F119" s="1"/>
      <c r="G119" s="1"/>
      <c r="H119" s="1"/>
      <c r="I119" s="1"/>
      <c r="K119" s="1"/>
      <c r="L119" s="1"/>
      <c r="M119" s="1"/>
      <c r="N119" s="1"/>
      <c r="O119" s="1"/>
      <c r="P119" s="1"/>
      <c r="Q119" s="1"/>
    </row>
    <row r="120" spans="2:17" x14ac:dyDescent="0.3">
      <c r="B120" s="1"/>
      <c r="D120" s="1"/>
      <c r="E120" s="1"/>
      <c r="F120" s="1"/>
      <c r="G120" s="1"/>
      <c r="H120" s="1"/>
      <c r="I120" s="1"/>
      <c r="K120" s="1"/>
      <c r="L120" s="1"/>
      <c r="M120" s="1"/>
      <c r="N120" s="1"/>
      <c r="O120" s="1"/>
      <c r="P120" s="1"/>
      <c r="Q120" s="1"/>
    </row>
    <row r="121" spans="2:17" x14ac:dyDescent="0.3">
      <c r="B121" s="1"/>
      <c r="D121" s="1"/>
      <c r="E121" s="1"/>
      <c r="F121" s="1"/>
      <c r="G121" s="1"/>
      <c r="H121" s="1"/>
      <c r="I121" s="1"/>
      <c r="K121" s="1"/>
      <c r="L121" s="1"/>
      <c r="M121" s="1"/>
      <c r="N121" s="1"/>
      <c r="O121" s="1"/>
      <c r="P121" s="1"/>
      <c r="Q121" s="1"/>
    </row>
    <row r="122" spans="2:17" x14ac:dyDescent="0.3">
      <c r="B122" s="1"/>
      <c r="D122" s="1"/>
      <c r="E122" s="1"/>
      <c r="F122" s="1"/>
      <c r="G122" s="1"/>
      <c r="H122" s="1"/>
      <c r="I122" s="1"/>
      <c r="K122" s="1"/>
      <c r="L122" s="1"/>
      <c r="M122" s="1"/>
      <c r="N122" s="1"/>
      <c r="O122" s="1"/>
      <c r="P122" s="1"/>
      <c r="Q122" s="1"/>
    </row>
    <row r="123" spans="2:17" x14ac:dyDescent="0.3">
      <c r="B123" s="1"/>
      <c r="D123" s="1"/>
      <c r="E123" s="1"/>
      <c r="F123" s="1"/>
      <c r="G123" s="1"/>
      <c r="H123" s="1"/>
      <c r="I123" s="1"/>
      <c r="K123" s="1"/>
      <c r="L123" s="1"/>
      <c r="M123" s="1"/>
      <c r="N123" s="1"/>
      <c r="O123" s="1"/>
      <c r="P123" s="1"/>
      <c r="Q123" s="1"/>
    </row>
    <row r="124" spans="2:17" x14ac:dyDescent="0.3">
      <c r="B124" s="1"/>
      <c r="D124" s="1"/>
      <c r="E124" s="1"/>
      <c r="F124" s="1"/>
      <c r="G124" s="1"/>
      <c r="H124" s="1"/>
      <c r="I124" s="1"/>
      <c r="K124" s="1"/>
      <c r="L124" s="1"/>
      <c r="M124" s="1"/>
      <c r="N124" s="1"/>
      <c r="O124" s="1"/>
      <c r="P124" s="1"/>
      <c r="Q124" s="1"/>
    </row>
    <row r="125" spans="2:17" x14ac:dyDescent="0.3">
      <c r="B125" s="1"/>
      <c r="D125" s="1"/>
      <c r="E125" s="1"/>
      <c r="F125" s="1"/>
      <c r="G125" s="1"/>
      <c r="H125" s="1"/>
      <c r="I125" s="1"/>
      <c r="K125" s="1"/>
      <c r="L125" s="1"/>
      <c r="M125" s="1"/>
      <c r="N125" s="1"/>
      <c r="O125" s="1"/>
      <c r="P125" s="1"/>
      <c r="Q125" s="1"/>
    </row>
    <row r="126" spans="2:17" x14ac:dyDescent="0.3">
      <c r="B126" s="1"/>
      <c r="D126" s="1"/>
      <c r="E126" s="1"/>
      <c r="F126" s="1"/>
      <c r="G126" s="1"/>
      <c r="H126" s="1"/>
      <c r="I126" s="1"/>
      <c r="K126" s="1"/>
      <c r="L126" s="1"/>
      <c r="M126" s="1"/>
      <c r="N126" s="1"/>
      <c r="O126" s="1"/>
      <c r="P126" s="1"/>
      <c r="Q126" s="1"/>
    </row>
    <row r="127" spans="2:17" x14ac:dyDescent="0.3">
      <c r="B127" s="1"/>
      <c r="D127" s="1"/>
      <c r="E127" s="1"/>
      <c r="F127" s="1"/>
      <c r="G127" s="1"/>
      <c r="H127" s="1"/>
      <c r="I127" s="1"/>
      <c r="K127" s="1"/>
      <c r="L127" s="1"/>
      <c r="M127" s="1"/>
      <c r="N127" s="1"/>
      <c r="O127" s="1"/>
      <c r="P127" s="1"/>
      <c r="Q127" s="1"/>
    </row>
    <row r="128" spans="2:17" x14ac:dyDescent="0.3">
      <c r="B128" s="1"/>
      <c r="D128" s="1"/>
      <c r="E128" s="1"/>
      <c r="F128" s="1"/>
      <c r="G128" s="1"/>
      <c r="H128" s="1"/>
      <c r="I128" s="1"/>
      <c r="K128" s="1"/>
      <c r="L128" s="1"/>
      <c r="M128" s="1"/>
      <c r="N128" s="1"/>
      <c r="O128" s="1"/>
      <c r="P128" s="1"/>
      <c r="Q128" s="1"/>
    </row>
    <row r="129" spans="2:17" x14ac:dyDescent="0.3">
      <c r="B129" s="1"/>
      <c r="D129" s="1"/>
      <c r="E129" s="1"/>
      <c r="F129" s="1"/>
      <c r="G129" s="1"/>
      <c r="H129" s="1"/>
      <c r="I129" s="1"/>
      <c r="K129" s="1"/>
      <c r="L129" s="1"/>
      <c r="M129" s="1"/>
      <c r="N129" s="1"/>
      <c r="O129" s="1"/>
      <c r="P129" s="1"/>
      <c r="Q129" s="1"/>
    </row>
    <row r="130" spans="2:17" x14ac:dyDescent="0.3">
      <c r="B130" s="1"/>
      <c r="D130" s="1"/>
      <c r="E130" s="1"/>
      <c r="F130" s="1"/>
      <c r="G130" s="1"/>
      <c r="H130" s="1"/>
      <c r="I130" s="1"/>
      <c r="K130" s="1"/>
      <c r="L130" s="1"/>
      <c r="M130" s="1"/>
      <c r="N130" s="1"/>
      <c r="O130" s="1"/>
      <c r="P130" s="1"/>
      <c r="Q130" s="1"/>
    </row>
    <row r="131" spans="2:17" x14ac:dyDescent="0.3">
      <c r="B131" s="1"/>
      <c r="D131" s="1"/>
      <c r="E131" s="1"/>
      <c r="F131" s="1"/>
      <c r="G131" s="1"/>
      <c r="H131" s="1"/>
      <c r="I131" s="1"/>
      <c r="K131" s="1"/>
      <c r="L131" s="1"/>
      <c r="M131" s="1"/>
      <c r="N131" s="1"/>
      <c r="O131" s="1"/>
      <c r="P131" s="1"/>
      <c r="Q131" s="1"/>
    </row>
    <row r="132" spans="2:17" x14ac:dyDescent="0.3">
      <c r="B132" s="1"/>
      <c r="D132" s="1"/>
      <c r="E132" s="1"/>
      <c r="F132" s="1"/>
      <c r="G132" s="1"/>
      <c r="H132" s="1"/>
      <c r="I132" s="1"/>
      <c r="K132" s="1"/>
      <c r="L132" s="1"/>
      <c r="M132" s="1"/>
      <c r="N132" s="1"/>
      <c r="O132" s="1"/>
      <c r="P132" s="1"/>
      <c r="Q132" s="1"/>
    </row>
    <row r="133" spans="2:17" x14ac:dyDescent="0.3">
      <c r="B133" s="1"/>
      <c r="D133" s="1"/>
      <c r="E133" s="1"/>
      <c r="F133" s="1"/>
      <c r="G133" s="1"/>
      <c r="H133" s="1"/>
      <c r="I133" s="1"/>
      <c r="K133" s="1"/>
      <c r="L133" s="1"/>
      <c r="M133" s="1"/>
      <c r="N133" s="1"/>
      <c r="O133" s="1"/>
      <c r="P133" s="1"/>
      <c r="Q133" s="1"/>
    </row>
    <row r="134" spans="2:17" x14ac:dyDescent="0.3">
      <c r="B134" s="1"/>
      <c r="D134" s="1"/>
      <c r="E134" s="1"/>
      <c r="F134" s="1"/>
      <c r="G134" s="1"/>
      <c r="H134" s="1"/>
      <c r="I134" s="1"/>
      <c r="K134" s="1"/>
      <c r="L134" s="1"/>
      <c r="M134" s="1"/>
      <c r="N134" s="1"/>
      <c r="O134" s="1"/>
      <c r="P134" s="1"/>
      <c r="Q134" s="1"/>
    </row>
    <row r="135" spans="2:17" x14ac:dyDescent="0.3">
      <c r="B135" s="1"/>
      <c r="D135" s="1"/>
      <c r="E135" s="1"/>
      <c r="F135" s="1"/>
      <c r="G135" s="1"/>
      <c r="H135" s="1"/>
      <c r="I135" s="1"/>
      <c r="K135" s="1"/>
      <c r="L135" s="1"/>
      <c r="M135" s="1"/>
      <c r="N135" s="1"/>
      <c r="O135" s="1"/>
      <c r="P135" s="1"/>
      <c r="Q135" s="1"/>
    </row>
    <row r="136" spans="2:17" x14ac:dyDescent="0.3">
      <c r="B136" s="1"/>
      <c r="D136" s="1"/>
      <c r="E136" s="1"/>
      <c r="F136" s="1"/>
      <c r="G136" s="1"/>
      <c r="H136" s="1"/>
      <c r="I136" s="1"/>
      <c r="K136" s="1"/>
      <c r="L136" s="1"/>
      <c r="M136" s="1"/>
      <c r="N136" s="1"/>
      <c r="O136" s="1"/>
      <c r="P136" s="1"/>
      <c r="Q136" s="1"/>
    </row>
    <row r="137" spans="2:17" x14ac:dyDescent="0.3">
      <c r="B137" s="1"/>
      <c r="D137" s="1"/>
      <c r="E137" s="1"/>
      <c r="F137" s="1"/>
      <c r="G137" s="1"/>
      <c r="H137" s="1"/>
      <c r="I137" s="1"/>
      <c r="K137" s="1"/>
      <c r="L137" s="1"/>
      <c r="M137" s="1"/>
      <c r="N137" s="1"/>
      <c r="O137" s="1"/>
      <c r="P137" s="1"/>
      <c r="Q137" s="1"/>
    </row>
    <row r="138" spans="2:17" x14ac:dyDescent="0.3">
      <c r="B138" s="1"/>
      <c r="D138" s="1"/>
      <c r="E138" s="1"/>
      <c r="F138" s="1"/>
      <c r="G138" s="1"/>
      <c r="H138" s="1"/>
      <c r="I138" s="1"/>
      <c r="K138" s="1"/>
      <c r="L138" s="1"/>
      <c r="M138" s="1"/>
      <c r="N138" s="1"/>
      <c r="O138" s="1"/>
      <c r="P138" s="1"/>
      <c r="Q138" s="1"/>
    </row>
    <row r="139" spans="2:17" x14ac:dyDescent="0.3">
      <c r="B139" s="1"/>
      <c r="D139" s="1"/>
      <c r="E139" s="1"/>
      <c r="F139" s="1"/>
      <c r="G139" s="1"/>
      <c r="H139" s="1"/>
      <c r="I139" s="1"/>
      <c r="K139" s="1"/>
      <c r="L139" s="1"/>
      <c r="M139" s="1"/>
      <c r="N139" s="1"/>
      <c r="O139" s="1"/>
      <c r="P139" s="1"/>
      <c r="Q139" s="1"/>
    </row>
    <row r="140" spans="2:17" x14ac:dyDescent="0.3">
      <c r="B140" s="1"/>
      <c r="D140" s="1"/>
      <c r="E140" s="1"/>
      <c r="F140" s="1"/>
      <c r="G140" s="1"/>
      <c r="H140" s="1"/>
      <c r="I140" s="1"/>
      <c r="K140" s="1"/>
      <c r="L140" s="1"/>
      <c r="M140" s="1"/>
      <c r="N140" s="1"/>
      <c r="O140" s="1"/>
      <c r="P140" s="1"/>
      <c r="Q140" s="1"/>
    </row>
    <row r="141" spans="2:17" x14ac:dyDescent="0.3">
      <c r="B141" s="1"/>
      <c r="D141" s="1"/>
      <c r="E141" s="1"/>
      <c r="F141" s="1"/>
      <c r="G141" s="1"/>
      <c r="H141" s="1"/>
      <c r="I141" s="1"/>
      <c r="K141" s="1"/>
      <c r="L141" s="1"/>
      <c r="M141" s="1"/>
      <c r="N141" s="1"/>
      <c r="O141" s="1"/>
      <c r="P141" s="1"/>
      <c r="Q141" s="1"/>
    </row>
    <row r="142" spans="2:17" x14ac:dyDescent="0.3">
      <c r="B142" s="1"/>
      <c r="D142" s="1"/>
      <c r="E142" s="1"/>
      <c r="F142" s="1"/>
      <c r="G142" s="1"/>
      <c r="H142" s="1"/>
      <c r="I142" s="1"/>
      <c r="K142" s="1"/>
      <c r="L142" s="1"/>
      <c r="M142" s="1"/>
      <c r="N142" s="1"/>
      <c r="O142" s="1"/>
      <c r="P142" s="1"/>
      <c r="Q142" s="1"/>
    </row>
    <row r="143" spans="2:17" x14ac:dyDescent="0.3">
      <c r="B143" s="1"/>
      <c r="D143" s="1"/>
      <c r="E143" s="1"/>
      <c r="F143" s="1"/>
      <c r="G143" s="1"/>
      <c r="H143" s="1"/>
      <c r="I143" s="1"/>
      <c r="K143" s="1"/>
      <c r="L143" s="1"/>
      <c r="M143" s="1"/>
      <c r="N143" s="1"/>
      <c r="O143" s="1"/>
      <c r="P143" s="1"/>
      <c r="Q143" s="1"/>
    </row>
    <row r="144" spans="2:17" x14ac:dyDescent="0.3">
      <c r="B144" s="1"/>
      <c r="D144" s="1"/>
      <c r="E144" s="1"/>
      <c r="F144" s="1"/>
      <c r="G144" s="1"/>
      <c r="H144" s="1"/>
      <c r="I144" s="1"/>
      <c r="K144" s="1"/>
      <c r="L144" s="1"/>
      <c r="M144" s="1"/>
      <c r="N144" s="1"/>
      <c r="O144" s="1"/>
      <c r="P144" s="1"/>
      <c r="Q144" s="1"/>
    </row>
    <row r="145" spans="2:17" x14ac:dyDescent="0.3">
      <c r="B145" s="1"/>
      <c r="D145" s="1"/>
      <c r="E145" s="1"/>
      <c r="F145" s="1"/>
      <c r="G145" s="1"/>
      <c r="H145" s="1"/>
      <c r="I145" s="1"/>
      <c r="K145" s="1"/>
      <c r="L145" s="1"/>
      <c r="M145" s="1"/>
      <c r="N145" s="1"/>
      <c r="O145" s="1"/>
      <c r="P145" s="1"/>
      <c r="Q145" s="1"/>
    </row>
    <row r="146" spans="2:17" x14ac:dyDescent="0.3">
      <c r="B146" s="1"/>
      <c r="D146" s="1"/>
      <c r="E146" s="1"/>
      <c r="F146" s="1"/>
      <c r="G146" s="1"/>
      <c r="H146" s="1"/>
      <c r="I146" s="1"/>
      <c r="K146" s="1"/>
      <c r="L146" s="1"/>
      <c r="M146" s="1"/>
      <c r="N146" s="1"/>
      <c r="O146" s="1"/>
      <c r="P146" s="1"/>
      <c r="Q146" s="1"/>
    </row>
    <row r="147" spans="2:17" x14ac:dyDescent="0.3">
      <c r="D147" s="1"/>
      <c r="E147" s="1"/>
      <c r="F147" s="1"/>
      <c r="G147" s="1"/>
      <c r="H147" s="1"/>
      <c r="I147" s="1"/>
      <c r="K147" s="1"/>
      <c r="L147" s="1"/>
      <c r="M147" s="1"/>
      <c r="N147" s="1"/>
      <c r="O147" s="1"/>
      <c r="P147" s="1"/>
      <c r="Q147" s="1"/>
    </row>
    <row r="148" spans="2:17" x14ac:dyDescent="0.3">
      <c r="D148" s="1"/>
      <c r="E148" s="1"/>
      <c r="F148" s="1"/>
      <c r="G148" s="1"/>
      <c r="H148" s="1"/>
      <c r="I148" s="1"/>
      <c r="K148" s="1"/>
      <c r="L148" s="1"/>
      <c r="M148" s="1"/>
      <c r="N148" s="1"/>
      <c r="O148" s="1"/>
      <c r="P148" s="1"/>
      <c r="Q148" s="1"/>
    </row>
    <row r="149" spans="2:17" x14ac:dyDescent="0.3">
      <c r="D149" s="1"/>
      <c r="E149" s="1"/>
      <c r="F149" s="1"/>
      <c r="G149" s="1"/>
      <c r="H149" s="1"/>
      <c r="I149" s="1"/>
      <c r="K149" s="1"/>
      <c r="L149" s="1"/>
      <c r="M149" s="1"/>
      <c r="N149" s="1"/>
      <c r="O149" s="1"/>
      <c r="P149" s="1"/>
      <c r="Q149" s="1"/>
    </row>
    <row r="150" spans="2:17" x14ac:dyDescent="0.3">
      <c r="D150" s="1"/>
      <c r="E150" s="1"/>
      <c r="F150" s="1"/>
      <c r="G150" s="1"/>
      <c r="H150" s="1"/>
      <c r="I150" s="1"/>
      <c r="K150" s="1"/>
      <c r="L150" s="1"/>
      <c r="M150" s="1"/>
      <c r="N150" s="1"/>
      <c r="O150" s="1"/>
      <c r="P150" s="1"/>
      <c r="Q150" s="1"/>
    </row>
    <row r="151" spans="2:17" x14ac:dyDescent="0.3">
      <c r="D151" s="1"/>
      <c r="E151" s="1"/>
      <c r="F151" s="1"/>
      <c r="G151" s="1"/>
      <c r="H151" s="1"/>
      <c r="I151" s="1"/>
      <c r="K151" s="1"/>
      <c r="L151" s="1"/>
      <c r="M151" s="1"/>
      <c r="N151" s="1"/>
      <c r="O151" s="1"/>
      <c r="P151" s="1"/>
      <c r="Q151" s="1"/>
    </row>
    <row r="152" spans="2:17" x14ac:dyDescent="0.3">
      <c r="B152" s="1"/>
      <c r="D152" s="1"/>
      <c r="E152" s="1"/>
      <c r="F152" s="1"/>
      <c r="G152" s="1"/>
      <c r="H152" s="1"/>
      <c r="I152" s="1"/>
    </row>
    <row r="153" spans="2:17" x14ac:dyDescent="0.3">
      <c r="B153" s="1"/>
      <c r="D153" s="1"/>
      <c r="E153" s="1"/>
      <c r="F153" s="1"/>
      <c r="G153" s="1"/>
      <c r="H153" s="1"/>
      <c r="I153" s="1"/>
    </row>
    <row r="154" spans="2:17" x14ac:dyDescent="0.3">
      <c r="B154" s="1"/>
      <c r="D154" s="1"/>
      <c r="E154" s="1"/>
      <c r="F154" s="1"/>
      <c r="G154" s="1"/>
      <c r="H154" s="1"/>
      <c r="I154" s="1"/>
    </row>
    <row r="155" spans="2:17" x14ac:dyDescent="0.3">
      <c r="B155" s="1"/>
      <c r="D155" s="1"/>
      <c r="E155" s="1"/>
      <c r="F155" s="1"/>
      <c r="G155" s="1"/>
      <c r="H155" s="1"/>
      <c r="I155" s="1"/>
    </row>
    <row r="156" spans="2:17" x14ac:dyDescent="0.3">
      <c r="B156" s="1"/>
      <c r="D156" s="1"/>
      <c r="E156" s="1"/>
      <c r="F156" s="1"/>
      <c r="G156" s="1"/>
      <c r="H156" s="1"/>
      <c r="I156" s="1"/>
    </row>
    <row r="157" spans="2:17" x14ac:dyDescent="0.3">
      <c r="B157" s="1"/>
      <c r="D157" s="1"/>
      <c r="E157" s="1"/>
      <c r="F157" s="1"/>
      <c r="G157" s="1"/>
      <c r="H157" s="1"/>
      <c r="I157" s="1"/>
    </row>
    <row r="158" spans="2:17" x14ac:dyDescent="0.3">
      <c r="B158" s="1"/>
      <c r="D158" s="1"/>
      <c r="E158" s="1"/>
      <c r="F158" s="1"/>
      <c r="G158" s="1"/>
      <c r="H158" s="1"/>
      <c r="I158" s="1"/>
    </row>
    <row r="159" spans="2:17" x14ac:dyDescent="0.3">
      <c r="B159" s="1"/>
      <c r="D159" s="1"/>
      <c r="E159" s="1"/>
      <c r="F159" s="1"/>
      <c r="G159" s="1"/>
      <c r="H159" s="1"/>
      <c r="I159" s="1"/>
    </row>
    <row r="160" spans="2:17" x14ac:dyDescent="0.3">
      <c r="B160" s="1"/>
      <c r="D160" s="1"/>
      <c r="E160" s="1"/>
      <c r="F160" s="1"/>
      <c r="G160" s="1"/>
      <c r="H160" s="1"/>
      <c r="I160" s="1"/>
    </row>
    <row r="161" spans="2:9" x14ac:dyDescent="0.3">
      <c r="B161" s="1"/>
      <c r="D161" s="1"/>
      <c r="E161" s="1"/>
      <c r="F161" s="1"/>
      <c r="G161" s="1"/>
      <c r="H161" s="1"/>
      <c r="I161" s="1"/>
    </row>
    <row r="162" spans="2:9" x14ac:dyDescent="0.3">
      <c r="B162" s="1"/>
      <c r="D162" s="1"/>
      <c r="E162" s="1"/>
      <c r="F162" s="1"/>
      <c r="G162" s="1"/>
      <c r="H162" s="1"/>
      <c r="I162" s="1"/>
    </row>
    <row r="163" spans="2:9" x14ac:dyDescent="0.3">
      <c r="B163" s="1"/>
      <c r="D163" s="1"/>
      <c r="E163" s="1"/>
      <c r="F163" s="1"/>
      <c r="G163" s="1"/>
      <c r="H163" s="1"/>
      <c r="I163" s="1"/>
    </row>
    <row r="164" spans="2:9" x14ac:dyDescent="0.3">
      <c r="B164" s="1"/>
      <c r="D164" s="1"/>
      <c r="E164" s="1"/>
      <c r="F164" s="1"/>
      <c r="G164" s="1"/>
      <c r="H164" s="1"/>
      <c r="I164" s="1"/>
    </row>
    <row r="165" spans="2:9" x14ac:dyDescent="0.3">
      <c r="B165" s="1"/>
      <c r="D165" s="1"/>
      <c r="E165" s="1"/>
      <c r="F165" s="1"/>
      <c r="G165" s="1"/>
      <c r="H165" s="1"/>
      <c r="I165" s="1"/>
    </row>
    <row r="166" spans="2:9" x14ac:dyDescent="0.3">
      <c r="B166" s="1"/>
      <c r="D166" s="1"/>
      <c r="E166" s="1"/>
      <c r="F166" s="1"/>
      <c r="G166" s="1"/>
      <c r="H166" s="1"/>
      <c r="I166" s="1"/>
    </row>
    <row r="167" spans="2:9" x14ac:dyDescent="0.3">
      <c r="B167" s="1"/>
      <c r="D167" s="1"/>
      <c r="E167" s="1"/>
      <c r="F167" s="1"/>
      <c r="G167" s="1"/>
      <c r="H167" s="1"/>
      <c r="I167" s="1"/>
    </row>
    <row r="168" spans="2:9" x14ac:dyDescent="0.3">
      <c r="B168" s="1"/>
      <c r="D168" s="1"/>
      <c r="E168" s="1"/>
      <c r="F168" s="1"/>
      <c r="G168" s="1"/>
      <c r="H168" s="1"/>
      <c r="I168" s="1"/>
    </row>
    <row r="169" spans="2:9" x14ac:dyDescent="0.3">
      <c r="B169" s="1"/>
      <c r="D169" s="1"/>
      <c r="E169" s="1"/>
      <c r="F169" s="1"/>
      <c r="G169" s="1"/>
      <c r="H169" s="1"/>
      <c r="I169" s="1"/>
    </row>
    <row r="170" spans="2:9" x14ac:dyDescent="0.3">
      <c r="B170" s="1"/>
      <c r="D170" s="1"/>
      <c r="E170" s="1"/>
      <c r="F170" s="1"/>
      <c r="G170" s="1"/>
      <c r="H170" s="1"/>
      <c r="I170" s="1"/>
    </row>
    <row r="171" spans="2:9" x14ac:dyDescent="0.3">
      <c r="B171" s="1"/>
      <c r="D171" s="1"/>
      <c r="E171" s="1"/>
      <c r="F171" s="1"/>
      <c r="G171" s="1"/>
      <c r="H171" s="1"/>
      <c r="I171" s="1"/>
    </row>
    <row r="172" spans="2:9" x14ac:dyDescent="0.3">
      <c r="B172" s="1"/>
      <c r="D172" s="1"/>
      <c r="E172" s="1"/>
      <c r="F172" s="1"/>
      <c r="G172" s="1"/>
      <c r="H172" s="1"/>
      <c r="I172" s="1"/>
    </row>
    <row r="173" spans="2:9" x14ac:dyDescent="0.3">
      <c r="B173" s="1"/>
      <c r="D173" s="1"/>
      <c r="E173" s="1"/>
      <c r="F173" s="1"/>
      <c r="G173" s="1"/>
      <c r="H173" s="1"/>
      <c r="I173" s="1"/>
    </row>
    <row r="174" spans="2:9" x14ac:dyDescent="0.3">
      <c r="B174" s="1"/>
      <c r="D174" s="1"/>
      <c r="E174" s="1"/>
      <c r="F174" s="1"/>
      <c r="G174" s="1"/>
      <c r="H174" s="1"/>
      <c r="I174" s="1"/>
    </row>
    <row r="175" spans="2:9" x14ac:dyDescent="0.3">
      <c r="B175" s="1"/>
      <c r="D175" s="1"/>
      <c r="E175" s="1"/>
      <c r="F175" s="1"/>
      <c r="G175" s="1"/>
      <c r="H175" s="1"/>
      <c r="I175" s="1"/>
    </row>
    <row r="176" spans="2:9" x14ac:dyDescent="0.3">
      <c r="B176" s="1"/>
      <c r="D176" s="1"/>
      <c r="E176" s="1"/>
      <c r="F176" s="1"/>
      <c r="G176" s="1"/>
      <c r="H176" s="1"/>
      <c r="I176" s="1"/>
    </row>
    <row r="177" spans="2:9" x14ac:dyDescent="0.3">
      <c r="B177" s="1"/>
      <c r="D177" s="1"/>
      <c r="E177" s="1"/>
      <c r="F177" s="1"/>
      <c r="G177" s="1"/>
      <c r="H177" s="1"/>
      <c r="I177" s="1"/>
    </row>
    <row r="178" spans="2:9" x14ac:dyDescent="0.3">
      <c r="B178" s="1"/>
      <c r="D178" s="1"/>
      <c r="E178" s="1"/>
      <c r="F178" s="1"/>
      <c r="G178" s="1"/>
      <c r="H178" s="1"/>
      <c r="I178" s="1"/>
    </row>
    <row r="179" spans="2:9" x14ac:dyDescent="0.3">
      <c r="B179" s="1"/>
      <c r="D179" s="1"/>
      <c r="E179" s="1"/>
      <c r="F179" s="1"/>
      <c r="G179" s="1"/>
      <c r="H179" s="1"/>
      <c r="I179" s="1"/>
    </row>
    <row r="180" spans="2:9" x14ac:dyDescent="0.3">
      <c r="B180" s="1"/>
      <c r="D180" s="1"/>
      <c r="E180" s="1"/>
      <c r="F180" s="1"/>
      <c r="G180" s="1"/>
      <c r="H180" s="1"/>
      <c r="I180" s="1"/>
    </row>
    <row r="181" spans="2:9" x14ac:dyDescent="0.3">
      <c r="B181" s="1"/>
      <c r="D181" s="1"/>
      <c r="E181" s="1"/>
      <c r="F181" s="1"/>
      <c r="G181" s="1"/>
      <c r="H181" s="1"/>
      <c r="I181" s="1"/>
    </row>
    <row r="182" spans="2:9" x14ac:dyDescent="0.3">
      <c r="B182" s="1"/>
      <c r="D182" s="1"/>
      <c r="E182" s="1"/>
      <c r="F182" s="1"/>
      <c r="G182" s="1"/>
      <c r="H182" s="1"/>
      <c r="I182" s="1"/>
    </row>
    <row r="183" spans="2:9" x14ac:dyDescent="0.3">
      <c r="B183" s="1"/>
      <c r="D183" s="1"/>
      <c r="E183" s="1"/>
      <c r="F183" s="1"/>
      <c r="G183" s="1"/>
      <c r="H183" s="1"/>
      <c r="I183" s="1"/>
    </row>
    <row r="184" spans="2:9" x14ac:dyDescent="0.3">
      <c r="B184" s="1"/>
      <c r="D184" s="1"/>
      <c r="E184" s="1"/>
      <c r="F184" s="1"/>
      <c r="G184" s="1"/>
      <c r="H184" s="1"/>
      <c r="I184" s="1"/>
    </row>
    <row r="185" spans="2:9" x14ac:dyDescent="0.3">
      <c r="B185" s="1"/>
      <c r="D185" s="1"/>
      <c r="E185" s="1"/>
      <c r="F185" s="1"/>
      <c r="G185" s="1"/>
      <c r="H185" s="1"/>
      <c r="I185" s="1"/>
    </row>
    <row r="186" spans="2:9" x14ac:dyDescent="0.3">
      <c r="B186" s="1"/>
      <c r="D186" s="1"/>
      <c r="E186" s="1"/>
      <c r="F186" s="1"/>
      <c r="G186" s="1"/>
      <c r="H186" s="1"/>
      <c r="I186" s="1"/>
    </row>
    <row r="187" spans="2:9" x14ac:dyDescent="0.3">
      <c r="B187" s="1"/>
      <c r="D187" s="1"/>
      <c r="E187" s="1"/>
      <c r="F187" s="1"/>
      <c r="G187" s="1"/>
      <c r="H187" s="1"/>
      <c r="I187" s="1"/>
    </row>
    <row r="188" spans="2:9" x14ac:dyDescent="0.3">
      <c r="B188" s="1"/>
      <c r="D188" s="1"/>
      <c r="E188" s="1"/>
      <c r="F188" s="1"/>
      <c r="G188" s="1"/>
      <c r="H188" s="1"/>
      <c r="I188" s="1"/>
    </row>
    <row r="189" spans="2:9" x14ac:dyDescent="0.3">
      <c r="B189" s="1"/>
      <c r="D189" s="1"/>
      <c r="E189" s="1"/>
      <c r="F189" s="1"/>
      <c r="G189" s="1"/>
      <c r="H189" s="1"/>
      <c r="I189" s="1"/>
    </row>
    <row r="190" spans="2:9" x14ac:dyDescent="0.3">
      <c r="B190" s="1"/>
      <c r="D190" s="1"/>
      <c r="E190" s="1"/>
      <c r="F190" s="1"/>
      <c r="G190" s="1"/>
      <c r="H190" s="1"/>
      <c r="I190" s="1"/>
    </row>
    <row r="191" spans="2:9" x14ac:dyDescent="0.3">
      <c r="B191" s="1"/>
      <c r="D191" s="1"/>
      <c r="E191" s="1"/>
      <c r="F191" s="1"/>
      <c r="G191" s="1"/>
      <c r="H191" s="1"/>
      <c r="I191" s="1"/>
    </row>
    <row r="192" spans="2:9" x14ac:dyDescent="0.3">
      <c r="B192" s="1"/>
      <c r="D192" s="1"/>
      <c r="E192" s="1"/>
      <c r="F192" s="1"/>
      <c r="G192" s="1"/>
      <c r="H192" s="1"/>
      <c r="I192" s="1"/>
    </row>
    <row r="193" spans="2:9" x14ac:dyDescent="0.3">
      <c r="B193" s="1"/>
      <c r="D193" s="1"/>
      <c r="E193" s="1"/>
      <c r="F193" s="1"/>
      <c r="G193" s="1"/>
      <c r="H193" s="1"/>
      <c r="I193" s="1"/>
    </row>
    <row r="194" spans="2:9" x14ac:dyDescent="0.3">
      <c r="B194" s="1"/>
      <c r="D194" s="1"/>
      <c r="E194" s="1"/>
      <c r="F194" s="1"/>
      <c r="G194" s="1"/>
      <c r="H194" s="1"/>
      <c r="I194" s="1"/>
    </row>
    <row r="195" spans="2:9" x14ac:dyDescent="0.3">
      <c r="B195" s="1"/>
      <c r="D195" s="1"/>
      <c r="E195" s="1"/>
      <c r="F195" s="1"/>
      <c r="G195" s="1"/>
      <c r="H195" s="1"/>
      <c r="I195" s="1"/>
    </row>
    <row r="196" spans="2:9" x14ac:dyDescent="0.3">
      <c r="B196" s="1"/>
      <c r="D196" s="1"/>
      <c r="E196" s="1"/>
      <c r="F196" s="1"/>
      <c r="G196" s="1"/>
      <c r="H196" s="1"/>
      <c r="I196" s="1"/>
    </row>
    <row r="197" spans="2:9" x14ac:dyDescent="0.3">
      <c r="B197" s="1"/>
      <c r="D197" s="1"/>
      <c r="E197" s="1"/>
      <c r="F197" s="1"/>
      <c r="G197" s="1"/>
      <c r="H197" s="1"/>
      <c r="I197" s="1"/>
    </row>
    <row r="198" spans="2:9" x14ac:dyDescent="0.3">
      <c r="B198" s="1"/>
      <c r="D198" s="1"/>
      <c r="E198" s="1"/>
      <c r="F198" s="1"/>
      <c r="G198" s="1"/>
      <c r="H198" s="1"/>
      <c r="I198" s="1"/>
    </row>
    <row r="199" spans="2:9" x14ac:dyDescent="0.3">
      <c r="B199" s="1"/>
      <c r="D199" s="1"/>
      <c r="E199" s="1"/>
      <c r="F199" s="1"/>
      <c r="G199" s="1"/>
      <c r="H199" s="1"/>
      <c r="I199" s="1"/>
    </row>
    <row r="200" spans="2:9" x14ac:dyDescent="0.3">
      <c r="B200" s="1"/>
      <c r="D200" s="1"/>
      <c r="E200" s="1"/>
      <c r="F200" s="1"/>
      <c r="G200" s="1"/>
      <c r="H200" s="1"/>
      <c r="I200" s="1"/>
    </row>
    <row r="201" spans="2:9" x14ac:dyDescent="0.3">
      <c r="B201" s="1"/>
      <c r="D201" s="1"/>
      <c r="E201" s="1"/>
      <c r="F201" s="1"/>
      <c r="G201" s="1"/>
      <c r="H201" s="1"/>
      <c r="I201" s="1"/>
    </row>
    <row r="202" spans="2:9" x14ac:dyDescent="0.3">
      <c r="B202" s="1"/>
      <c r="D202" s="1"/>
      <c r="E202" s="1"/>
      <c r="F202" s="1"/>
      <c r="G202" s="1"/>
      <c r="H202" s="1"/>
      <c r="I202" s="1"/>
    </row>
    <row r="203" spans="2:9" x14ac:dyDescent="0.3">
      <c r="B203" s="1"/>
      <c r="D203" s="1"/>
      <c r="E203" s="1"/>
      <c r="F203" s="1"/>
      <c r="G203" s="1"/>
      <c r="H203" s="1"/>
      <c r="I203" s="1"/>
    </row>
    <row r="204" spans="2:9" x14ac:dyDescent="0.3">
      <c r="B204" s="1"/>
      <c r="D204" s="1"/>
      <c r="E204" s="1"/>
      <c r="F204" s="1"/>
      <c r="G204" s="1"/>
      <c r="H204" s="1"/>
      <c r="I204" s="1"/>
    </row>
    <row r="205" spans="2:9" x14ac:dyDescent="0.3">
      <c r="B205" s="1"/>
      <c r="D205" s="1"/>
      <c r="E205" s="1"/>
      <c r="F205" s="1"/>
      <c r="G205" s="1"/>
      <c r="H205" s="1"/>
      <c r="I205" s="1"/>
    </row>
    <row r="206" spans="2:9" x14ac:dyDescent="0.3">
      <c r="B206" s="1"/>
      <c r="D206" s="1"/>
      <c r="E206" s="1"/>
      <c r="F206" s="1"/>
      <c r="G206" s="1"/>
      <c r="H206" s="1"/>
      <c r="I206" s="1"/>
    </row>
    <row r="207" spans="2:9" x14ac:dyDescent="0.3">
      <c r="B207" s="1"/>
      <c r="D207" s="1"/>
      <c r="E207" s="1"/>
      <c r="F207" s="1"/>
      <c r="G207" s="1"/>
      <c r="H207" s="1"/>
      <c r="I207" s="1"/>
    </row>
    <row r="208" spans="2:9" x14ac:dyDescent="0.3">
      <c r="B208" s="1"/>
      <c r="D208" s="1"/>
      <c r="E208" s="1"/>
      <c r="F208" s="1"/>
      <c r="G208" s="1"/>
      <c r="H208" s="1"/>
      <c r="I208" s="1"/>
    </row>
    <row r="209" spans="2:9" x14ac:dyDescent="0.3">
      <c r="B209" s="1"/>
      <c r="D209" s="1"/>
      <c r="E209" s="1"/>
      <c r="F209" s="1"/>
      <c r="G209" s="1"/>
      <c r="H209" s="1"/>
      <c r="I209" s="1"/>
    </row>
    <row r="210" spans="2:9" x14ac:dyDescent="0.3">
      <c r="B210" s="1"/>
      <c r="D210" s="1"/>
      <c r="E210" s="1"/>
      <c r="F210" s="1"/>
      <c r="G210" s="1"/>
      <c r="H210" s="1"/>
      <c r="I210" s="1"/>
    </row>
    <row r="211" spans="2:9" x14ac:dyDescent="0.3">
      <c r="B211" s="1"/>
      <c r="D211" s="1"/>
      <c r="E211" s="1"/>
      <c r="F211" s="1"/>
      <c r="G211" s="1"/>
      <c r="H211" s="1"/>
      <c r="I211" s="1"/>
    </row>
    <row r="212" spans="2:9" x14ac:dyDescent="0.3">
      <c r="B212" s="1"/>
      <c r="D212" s="1"/>
      <c r="E212" s="1"/>
      <c r="F212" s="1"/>
      <c r="G212" s="1"/>
      <c r="H212" s="1"/>
      <c r="I212" s="1"/>
    </row>
    <row r="213" spans="2:9" x14ac:dyDescent="0.3">
      <c r="B213" s="1"/>
      <c r="D213" s="1"/>
      <c r="E213" s="1"/>
      <c r="F213" s="1"/>
      <c r="G213" s="1"/>
      <c r="H213" s="1"/>
      <c r="I213" s="1"/>
    </row>
    <row r="214" spans="2:9" x14ac:dyDescent="0.3">
      <c r="B214" s="1"/>
      <c r="D214" s="1"/>
      <c r="E214" s="1"/>
      <c r="F214" s="1"/>
      <c r="G214" s="1"/>
      <c r="H214" s="1"/>
      <c r="I214" s="1"/>
    </row>
    <row r="215" spans="2:9" x14ac:dyDescent="0.3">
      <c r="B215" s="1"/>
      <c r="D215" s="1"/>
      <c r="E215" s="1"/>
      <c r="F215" s="1"/>
      <c r="G215" s="1"/>
      <c r="H215" s="1"/>
      <c r="I215" s="1"/>
    </row>
    <row r="216" spans="2:9" x14ac:dyDescent="0.3">
      <c r="B216" s="1"/>
      <c r="D216" s="1"/>
      <c r="E216" s="1"/>
      <c r="F216" s="1"/>
      <c r="G216" s="1"/>
      <c r="H216" s="1"/>
      <c r="I216" s="1"/>
    </row>
    <row r="217" spans="2:9" x14ac:dyDescent="0.3">
      <c r="B217" s="1"/>
      <c r="D217" s="1"/>
      <c r="E217" s="1"/>
      <c r="F217" s="1"/>
      <c r="G217" s="1"/>
      <c r="H217" s="1"/>
      <c r="I217" s="1"/>
    </row>
    <row r="218" spans="2:9" x14ac:dyDescent="0.3">
      <c r="B218" s="1"/>
      <c r="D218" s="1"/>
      <c r="E218" s="1"/>
      <c r="F218" s="1"/>
      <c r="G218" s="1"/>
      <c r="H218" s="1"/>
      <c r="I218" s="1"/>
    </row>
    <row r="219" spans="2:9" x14ac:dyDescent="0.3">
      <c r="B219" s="1"/>
      <c r="D219" s="1"/>
      <c r="E219" s="1"/>
      <c r="F219" s="1"/>
      <c r="G219" s="1"/>
      <c r="H219" s="1"/>
      <c r="I219" s="1"/>
    </row>
    <row r="220" spans="2:9" x14ac:dyDescent="0.3">
      <c r="B220" s="1"/>
      <c r="D220" s="1"/>
      <c r="E220" s="1"/>
      <c r="F220" s="1"/>
      <c r="G220" s="1"/>
      <c r="H220" s="1"/>
      <c r="I220" s="1"/>
    </row>
  </sheetData>
  <mergeCells count="116">
    <mergeCell ref="A3:A14"/>
    <mergeCell ref="B3:B5"/>
    <mergeCell ref="B6:B8"/>
    <mergeCell ref="B9:B11"/>
    <mergeCell ref="B12:B13"/>
    <mergeCell ref="C22:I22"/>
    <mergeCell ref="C57:I57"/>
    <mergeCell ref="C39:I39"/>
    <mergeCell ref="C32:I32"/>
    <mergeCell ref="C38:I38"/>
    <mergeCell ref="C50:I50"/>
    <mergeCell ref="C53:I53"/>
    <mergeCell ref="A45:A72"/>
    <mergeCell ref="A33:A44"/>
    <mergeCell ref="C66:I66"/>
    <mergeCell ref="C45:I45"/>
    <mergeCell ref="C54:I54"/>
    <mergeCell ref="E1:G1"/>
    <mergeCell ref="H1:J1"/>
    <mergeCell ref="K1:M1"/>
    <mergeCell ref="N1:P1"/>
    <mergeCell ref="A1:B2"/>
    <mergeCell ref="C30:I30"/>
    <mergeCell ref="A31:Q31"/>
    <mergeCell ref="A17:Q17"/>
    <mergeCell ref="C18:I18"/>
    <mergeCell ref="K18:Q18"/>
    <mergeCell ref="C19:I19"/>
    <mergeCell ref="C20:I20"/>
    <mergeCell ref="C21:I21"/>
    <mergeCell ref="C27:I27"/>
    <mergeCell ref="C28:I28"/>
    <mergeCell ref="C29:I29"/>
    <mergeCell ref="K19:Q19"/>
    <mergeCell ref="K20:Q20"/>
    <mergeCell ref="K21:Q21"/>
    <mergeCell ref="C23:I23"/>
    <mergeCell ref="K23:Q23"/>
    <mergeCell ref="C24:I24"/>
    <mergeCell ref="C25:I25"/>
    <mergeCell ref="C26:I26"/>
    <mergeCell ref="K32:Q32"/>
    <mergeCell ref="C33:I33"/>
    <mergeCell ref="C34:I34"/>
    <mergeCell ref="K34:Q34"/>
    <mergeCell ref="C35:I35"/>
    <mergeCell ref="K35:Q35"/>
    <mergeCell ref="C36:I36"/>
    <mergeCell ref="K36:Q36"/>
    <mergeCell ref="C37:I37"/>
    <mergeCell ref="K37:Q37"/>
    <mergeCell ref="K33:Q33"/>
    <mergeCell ref="K45:Q45"/>
    <mergeCell ref="C48:I48"/>
    <mergeCell ref="C47:I47"/>
    <mergeCell ref="C44:I44"/>
    <mergeCell ref="C46:I46"/>
    <mergeCell ref="K38:Q38"/>
    <mergeCell ref="K39:Q39"/>
    <mergeCell ref="C40:I40"/>
    <mergeCell ref="K40:Q40"/>
    <mergeCell ref="C41:I41"/>
    <mergeCell ref="K41:Q41"/>
    <mergeCell ref="C42:I42"/>
    <mergeCell ref="K42:Q42"/>
    <mergeCell ref="C43:I43"/>
    <mergeCell ref="K43:Q43"/>
    <mergeCell ref="K46:Q46"/>
    <mergeCell ref="K47:Q47"/>
    <mergeCell ref="K75:Q75"/>
    <mergeCell ref="C72:I72"/>
    <mergeCell ref="K72:Q72"/>
    <mergeCell ref="C74:I74"/>
    <mergeCell ref="K74:Q74"/>
    <mergeCell ref="C75:I75"/>
    <mergeCell ref="K67:Q67"/>
    <mergeCell ref="C68:I68"/>
    <mergeCell ref="K68:Q68"/>
    <mergeCell ref="C69:I69"/>
    <mergeCell ref="K69:Q69"/>
    <mergeCell ref="C70:I70"/>
    <mergeCell ref="K70:Q70"/>
    <mergeCell ref="C71:I71"/>
    <mergeCell ref="K71:Q71"/>
    <mergeCell ref="C67:I67"/>
    <mergeCell ref="K54:Q54"/>
    <mergeCell ref="C55:I55"/>
    <mergeCell ref="K55:Q55"/>
    <mergeCell ref="C56:I56"/>
    <mergeCell ref="K56:Q56"/>
    <mergeCell ref="K65:Q65"/>
    <mergeCell ref="K48:Q48"/>
    <mergeCell ref="C49:I49"/>
    <mergeCell ref="K49:Q49"/>
    <mergeCell ref="K50:Q50"/>
    <mergeCell ref="C51:I51"/>
    <mergeCell ref="K51:Q51"/>
    <mergeCell ref="C52:I52"/>
    <mergeCell ref="K52:Q52"/>
    <mergeCell ref="C62:I62"/>
    <mergeCell ref="K66:Q66"/>
    <mergeCell ref="K57:Q57"/>
    <mergeCell ref="C58:I58"/>
    <mergeCell ref="K58:Q58"/>
    <mergeCell ref="C59:I59"/>
    <mergeCell ref="K59:Q59"/>
    <mergeCell ref="C60:I60"/>
    <mergeCell ref="K60:Q60"/>
    <mergeCell ref="C61:I61"/>
    <mergeCell ref="K61:Q61"/>
    <mergeCell ref="K62:Q62"/>
    <mergeCell ref="C63:I63"/>
    <mergeCell ref="K63:Q63"/>
    <mergeCell ref="C64:I64"/>
    <mergeCell ref="K64:Q64"/>
    <mergeCell ref="C65:I65"/>
  </mergeCells>
  <conditionalFormatting sqref="J17:J18">
    <cfRule type="expression" dxfId="102" priority="16">
      <formula>$J17 = "Перенос"</formula>
    </cfRule>
    <cfRule type="expression" dxfId="101" priority="17">
      <formula>OR($J17 = "Готово", $J17 ="Не Делаем")</formula>
    </cfRule>
  </conditionalFormatting>
  <conditionalFormatting sqref="J31:J32">
    <cfRule type="expression" dxfId="100" priority="14">
      <formula>$J31 = "Перенос"</formula>
    </cfRule>
    <cfRule type="expression" dxfId="99" priority="15">
      <formula>OR($J31 = "Готово", $J31 ="Не Делаем")</formula>
    </cfRule>
  </conditionalFormatting>
  <conditionalFormatting sqref="J48:J53 J1:J45 J57:J73 J75:J1048576">
    <cfRule type="containsText" dxfId="98" priority="9" operator="containsText" text="Дополнительно">
      <formula>NOT(ISERROR(SEARCH("Дополнительно",J1)))</formula>
    </cfRule>
    <cfRule type="expression" dxfId="97" priority="12">
      <formula>OR($J1 = "Готово", $J1 ="Не Делаем")</formula>
    </cfRule>
  </conditionalFormatting>
  <conditionalFormatting sqref="J23">
    <cfRule type="expression" dxfId="96" priority="11">
      <formula>OR($J23 = "Готово", $J23 ="Не Делаем")</formula>
    </cfRule>
  </conditionalFormatting>
  <conditionalFormatting sqref="J24:J28">
    <cfRule type="expression" dxfId="95" priority="10">
      <formula>OR($J24 = "Готово", $J24 ="Не Делаем")</formula>
    </cfRule>
  </conditionalFormatting>
  <conditionalFormatting sqref="J46:J47">
    <cfRule type="containsText" dxfId="94" priority="7" operator="containsText" text="Дополнительно">
      <formula>NOT(ISERROR(SEARCH("Дополнительно",J46)))</formula>
    </cfRule>
    <cfRule type="expression" dxfId="93" priority="8">
      <formula>OR($J46 = "Готово", $J46 ="Не Делаем")</formula>
    </cfRule>
  </conditionalFormatting>
  <conditionalFormatting sqref="J54:J56">
    <cfRule type="containsText" dxfId="92" priority="5" operator="containsText" text="Дополнительно">
      <formula>NOT(ISERROR(SEARCH("Дополнительно",J54)))</formula>
    </cfRule>
    <cfRule type="expression" dxfId="91" priority="6">
      <formula>OR($J54 = "Готово", $J54 ="Не Делаем")</formula>
    </cfRule>
  </conditionalFormatting>
  <conditionalFormatting sqref="J74">
    <cfRule type="containsText" dxfId="90" priority="1" operator="containsText" text="Дополнительно">
      <formula>NOT(ISERROR(SEARCH("Дополнительно",J74)))</formula>
    </cfRule>
    <cfRule type="expression" dxfId="89" priority="2">
      <formula>OR($J74 = "Готово", $J74 ="Не Делаем")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F7A7D-6BD9-4F4C-9221-ADC7539805AF}">
  <sheetPr codeName="Лист2"/>
  <dimension ref="A1:BE40"/>
  <sheetViews>
    <sheetView workbookViewId="0">
      <selection activeCell="A9" sqref="A9:A11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8.109375" customWidth="1"/>
    <col min="6" max="6" width="7.109375" customWidth="1"/>
    <col min="7" max="7" width="8.88671875" customWidth="1"/>
    <col min="10" max="10" width="11.44140625" bestFit="1" customWidth="1"/>
  </cols>
  <sheetData>
    <row r="1" spans="1:57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7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7" x14ac:dyDescent="0.3">
      <c r="A3" s="481" t="s">
        <v>93</v>
      </c>
      <c r="B3" s="482"/>
      <c r="C3" s="360" t="s">
        <v>94</v>
      </c>
      <c r="D3" s="375">
        <v>130000</v>
      </c>
      <c r="E3" s="370">
        <v>10000</v>
      </c>
      <c r="F3" s="370">
        <v>8675</v>
      </c>
      <c r="G3" s="377">
        <v>0.87</v>
      </c>
      <c r="H3" s="370">
        <v>10000</v>
      </c>
      <c r="I3" s="370">
        <v>8608</v>
      </c>
      <c r="J3" s="377">
        <v>0.86</v>
      </c>
      <c r="K3" s="370">
        <v>10000</v>
      </c>
      <c r="L3" s="370">
        <v>9099</v>
      </c>
      <c r="M3" s="377">
        <v>0.91</v>
      </c>
      <c r="N3" s="370">
        <v>10000</v>
      </c>
      <c r="O3" s="370">
        <v>11184</v>
      </c>
      <c r="P3" s="377">
        <v>1.1200000000000001</v>
      </c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7" x14ac:dyDescent="0.3">
      <c r="A4" s="483"/>
      <c r="B4" s="484"/>
      <c r="C4" s="360" t="s">
        <v>95</v>
      </c>
      <c r="D4" s="376">
        <v>3.2000000000000001E-2</v>
      </c>
      <c r="E4" s="371">
        <v>3.2000000000000001E-2</v>
      </c>
      <c r="F4" s="371">
        <v>3.5099999999999999E-2</v>
      </c>
      <c r="G4" s="377">
        <v>1.1000000000000001</v>
      </c>
      <c r="H4" s="371">
        <v>3.2000000000000001E-2</v>
      </c>
      <c r="I4" s="371">
        <v>3.3000000000000002E-2</v>
      </c>
      <c r="J4" s="377">
        <v>1.03</v>
      </c>
      <c r="K4" s="371">
        <v>3.2000000000000001E-2</v>
      </c>
      <c r="L4" s="371">
        <v>3.1300000000000001E-2</v>
      </c>
      <c r="M4" s="377">
        <v>0.98</v>
      </c>
      <c r="N4" s="371">
        <v>3.2000000000000001E-2</v>
      </c>
      <c r="O4" s="371">
        <v>3.0499999999999999E-2</v>
      </c>
      <c r="P4" s="377">
        <v>0.95</v>
      </c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7" s="282" customFormat="1" x14ac:dyDescent="0.3">
      <c r="A5" s="293"/>
      <c r="B5" s="293"/>
      <c r="C5" s="6"/>
      <c r="D5" s="361"/>
      <c r="E5" s="6"/>
      <c r="F5" s="6"/>
      <c r="G5" s="362"/>
      <c r="H5" s="6"/>
      <c r="I5" s="6"/>
      <c r="J5" s="281"/>
      <c r="K5" s="6"/>
      <c r="L5" s="6"/>
      <c r="M5" s="281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</row>
    <row r="6" spans="1:57" s="282" customFormat="1" x14ac:dyDescent="0.3">
      <c r="A6" s="363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</row>
    <row r="7" spans="1:57" s="282" customFormat="1" ht="16.2" thickBot="1" x14ac:dyDescent="0.35">
      <c r="A7" s="451" t="s">
        <v>25</v>
      </c>
      <c r="B7" s="451"/>
      <c r="C7" s="451"/>
      <c r="D7" s="451"/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</row>
    <row r="8" spans="1:57" s="282" customFormat="1" x14ac:dyDescent="0.3">
      <c r="A8" s="336" t="s">
        <v>26</v>
      </c>
      <c r="B8" s="337" t="s">
        <v>27</v>
      </c>
      <c r="C8" s="452" t="s">
        <v>28</v>
      </c>
      <c r="D8" s="452"/>
      <c r="E8" s="452"/>
      <c r="F8" s="452"/>
      <c r="G8" s="452"/>
      <c r="H8" s="452"/>
      <c r="I8" s="452"/>
      <c r="J8" s="338" t="s">
        <v>29</v>
      </c>
      <c r="K8" s="452" t="s">
        <v>30</v>
      </c>
      <c r="L8" s="452"/>
      <c r="M8" s="452"/>
      <c r="N8" s="452"/>
      <c r="O8" s="452"/>
      <c r="P8" s="452"/>
      <c r="Q8" s="453"/>
    </row>
    <row r="9" spans="1:57" s="282" customFormat="1" ht="27" customHeight="1" x14ac:dyDescent="0.3">
      <c r="A9" s="342">
        <v>43693</v>
      </c>
      <c r="B9" s="343" t="s">
        <v>93</v>
      </c>
      <c r="C9" s="485" t="s">
        <v>96</v>
      </c>
      <c r="D9" s="485"/>
      <c r="E9" s="485"/>
      <c r="F9" s="485"/>
      <c r="G9" s="485"/>
      <c r="H9" s="485"/>
      <c r="I9" s="485"/>
      <c r="J9" s="345" t="s">
        <v>59</v>
      </c>
      <c r="K9" s="429" t="s">
        <v>97</v>
      </c>
      <c r="L9" s="429"/>
      <c r="M9" s="429"/>
      <c r="N9" s="429"/>
      <c r="O9" s="429"/>
      <c r="P9" s="429"/>
      <c r="Q9" s="429"/>
    </row>
    <row r="10" spans="1:57" s="282" customFormat="1" ht="27" customHeight="1" x14ac:dyDescent="0.3">
      <c r="A10" s="342">
        <v>43707</v>
      </c>
      <c r="B10" s="343" t="s">
        <v>93</v>
      </c>
      <c r="C10" s="485" t="s">
        <v>98</v>
      </c>
      <c r="D10" s="485"/>
      <c r="E10" s="485"/>
      <c r="F10" s="485"/>
      <c r="G10" s="485"/>
      <c r="H10" s="485"/>
      <c r="I10" s="485"/>
      <c r="J10" s="344" t="s">
        <v>32</v>
      </c>
      <c r="K10" s="429"/>
      <c r="L10" s="429"/>
      <c r="M10" s="429"/>
      <c r="N10" s="429"/>
      <c r="O10" s="429"/>
      <c r="P10" s="429"/>
      <c r="Q10" s="429"/>
    </row>
    <row r="11" spans="1:57" s="282" customFormat="1" ht="27" customHeight="1" thickBot="1" x14ac:dyDescent="0.35">
      <c r="A11" s="348">
        <v>43735</v>
      </c>
      <c r="B11" s="349" t="s">
        <v>93</v>
      </c>
      <c r="C11" s="480" t="s">
        <v>99</v>
      </c>
      <c r="D11" s="480"/>
      <c r="E11" s="480"/>
      <c r="F11" s="480"/>
      <c r="G11" s="480"/>
      <c r="H11" s="480"/>
      <c r="I11" s="480"/>
      <c r="J11" s="352" t="s">
        <v>32</v>
      </c>
      <c r="K11" s="432"/>
      <c r="L11" s="432"/>
      <c r="M11" s="432"/>
      <c r="N11" s="432"/>
      <c r="O11" s="432"/>
      <c r="P11" s="432"/>
      <c r="Q11" s="432"/>
    </row>
    <row r="12" spans="1:57" s="282" customFormat="1" x14ac:dyDescent="0.3"/>
    <row r="13" spans="1:57" s="282" customFormat="1" x14ac:dyDescent="0.3"/>
    <row r="14" spans="1:57" ht="16.2" thickBot="1" x14ac:dyDescent="0.35">
      <c r="A14" s="450" t="s">
        <v>42</v>
      </c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  <c r="Q14" s="450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2"/>
      <c r="AZ14" s="282"/>
      <c r="BA14" s="282"/>
      <c r="BB14" s="282"/>
      <c r="BC14" s="282"/>
      <c r="BD14" s="282"/>
      <c r="BE14" s="282"/>
    </row>
    <row r="15" spans="1:57" ht="14.4" customHeight="1" x14ac:dyDescent="0.3">
      <c r="A15" s="336" t="s">
        <v>43</v>
      </c>
      <c r="B15" s="337" t="s">
        <v>27</v>
      </c>
      <c r="C15" s="452" t="s">
        <v>28</v>
      </c>
      <c r="D15" s="452"/>
      <c r="E15" s="452"/>
      <c r="F15" s="452"/>
      <c r="G15" s="452"/>
      <c r="H15" s="452"/>
      <c r="I15" s="452"/>
      <c r="J15" s="338" t="s">
        <v>29</v>
      </c>
      <c r="K15" s="452" t="s">
        <v>30</v>
      </c>
      <c r="L15" s="452"/>
      <c r="M15" s="452"/>
      <c r="N15" s="452"/>
      <c r="O15" s="452"/>
      <c r="P15" s="452"/>
      <c r="Q15" s="453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2"/>
      <c r="AZ15" s="282"/>
      <c r="BA15" s="282"/>
      <c r="BB15" s="282"/>
      <c r="BC15" s="282"/>
      <c r="BD15" s="282"/>
      <c r="BE15" s="282"/>
    </row>
    <row r="16" spans="1:57" s="282" customFormat="1" x14ac:dyDescent="0.3">
      <c r="A16" s="476">
        <v>43696</v>
      </c>
      <c r="B16" s="340"/>
      <c r="C16" s="475"/>
      <c r="D16" s="475"/>
      <c r="E16" s="475"/>
      <c r="F16" s="475"/>
      <c r="G16" s="475"/>
      <c r="H16" s="475"/>
      <c r="I16" s="475"/>
      <c r="J16" s="308"/>
      <c r="K16" s="471"/>
      <c r="L16" s="471"/>
      <c r="M16" s="471"/>
      <c r="N16" s="471"/>
      <c r="O16" s="471"/>
      <c r="P16" s="471"/>
      <c r="Q16" s="471"/>
    </row>
    <row r="17" spans="1:17" s="282" customFormat="1" x14ac:dyDescent="0.3">
      <c r="A17" s="477"/>
      <c r="B17" s="343"/>
      <c r="C17" s="479"/>
      <c r="D17" s="479"/>
      <c r="E17" s="479"/>
      <c r="F17" s="479"/>
      <c r="G17" s="479"/>
      <c r="H17" s="479"/>
      <c r="I17" s="479"/>
      <c r="J17" s="309"/>
      <c r="K17" s="472"/>
      <c r="L17" s="472"/>
      <c r="M17" s="472"/>
      <c r="N17" s="472"/>
      <c r="O17" s="472"/>
      <c r="P17" s="472"/>
      <c r="Q17" s="472"/>
    </row>
    <row r="18" spans="1:17" s="282" customFormat="1" x14ac:dyDescent="0.3">
      <c r="A18" s="477"/>
      <c r="B18" s="343"/>
      <c r="C18" s="479"/>
      <c r="D18" s="479"/>
      <c r="E18" s="479"/>
      <c r="F18" s="479"/>
      <c r="G18" s="479"/>
      <c r="H18" s="479"/>
      <c r="I18" s="479"/>
      <c r="J18" s="309"/>
      <c r="K18" s="472"/>
      <c r="L18" s="472"/>
      <c r="M18" s="472"/>
      <c r="N18" s="472"/>
      <c r="O18" s="472"/>
      <c r="P18" s="472"/>
      <c r="Q18" s="472"/>
    </row>
    <row r="19" spans="1:17" s="282" customFormat="1" x14ac:dyDescent="0.3">
      <c r="A19" s="477"/>
      <c r="B19" s="343"/>
      <c r="C19" s="479"/>
      <c r="D19" s="479"/>
      <c r="E19" s="479"/>
      <c r="F19" s="479"/>
      <c r="G19" s="479"/>
      <c r="H19" s="479"/>
      <c r="I19" s="479"/>
      <c r="J19" s="309"/>
      <c r="K19" s="472"/>
      <c r="L19" s="472"/>
      <c r="M19" s="472"/>
      <c r="N19" s="472"/>
      <c r="O19" s="472"/>
      <c r="P19" s="472"/>
      <c r="Q19" s="472"/>
    </row>
    <row r="20" spans="1:17" s="282" customFormat="1" ht="15" thickBot="1" x14ac:dyDescent="0.35">
      <c r="A20" s="478"/>
      <c r="B20" s="349"/>
      <c r="C20" s="474"/>
      <c r="D20" s="474"/>
      <c r="E20" s="474"/>
      <c r="F20" s="474"/>
      <c r="G20" s="474"/>
      <c r="H20" s="474"/>
      <c r="I20" s="474"/>
      <c r="J20" s="310"/>
      <c r="K20" s="473"/>
      <c r="L20" s="473"/>
      <c r="M20" s="473"/>
      <c r="N20" s="473"/>
      <c r="O20" s="473"/>
      <c r="P20" s="473"/>
      <c r="Q20" s="473"/>
    </row>
    <row r="21" spans="1:17" s="282" customFormat="1" x14ac:dyDescent="0.3">
      <c r="A21" s="308"/>
      <c r="B21" s="308"/>
      <c r="C21" s="475"/>
      <c r="D21" s="475"/>
      <c r="E21" s="475"/>
      <c r="F21" s="475"/>
      <c r="G21" s="475"/>
      <c r="H21" s="475"/>
      <c r="I21" s="475"/>
      <c r="J21" s="308"/>
      <c r="K21" s="471"/>
      <c r="L21" s="471"/>
      <c r="M21" s="471"/>
      <c r="N21" s="471"/>
      <c r="O21" s="471"/>
      <c r="P21" s="471"/>
      <c r="Q21" s="471"/>
    </row>
    <row r="22" spans="1:17" s="282" customFormat="1" x14ac:dyDescent="0.3">
      <c r="A22" s="347"/>
      <c r="B22" s="347"/>
      <c r="C22" s="364"/>
      <c r="D22" s="364"/>
      <c r="E22" s="364"/>
      <c r="F22" s="364"/>
      <c r="G22" s="364"/>
      <c r="H22" s="364"/>
      <c r="I22" s="364"/>
      <c r="J22" s="347"/>
      <c r="K22" s="347"/>
      <c r="L22" s="347"/>
      <c r="M22" s="347"/>
      <c r="N22" s="347"/>
      <c r="O22" s="347"/>
      <c r="P22" s="347"/>
      <c r="Q22" s="347"/>
    </row>
    <row r="23" spans="1:17" s="283" customFormat="1" x14ac:dyDescent="0.3">
      <c r="C23" s="392"/>
      <c r="D23" s="392"/>
      <c r="E23" s="392"/>
      <c r="F23" s="392"/>
      <c r="G23" s="392"/>
      <c r="H23" s="392"/>
      <c r="I23" s="392"/>
    </row>
    <row r="24" spans="1:17" s="283" customFormat="1" x14ac:dyDescent="0.3">
      <c r="C24" s="392"/>
      <c r="D24" s="392"/>
      <c r="E24" s="392"/>
      <c r="F24" s="392"/>
      <c r="G24" s="392"/>
      <c r="H24" s="392"/>
      <c r="I24" s="392"/>
    </row>
    <row r="25" spans="1:17" s="283" customFormat="1" x14ac:dyDescent="0.3">
      <c r="C25" s="392"/>
      <c r="D25" s="392"/>
      <c r="E25" s="392"/>
      <c r="F25" s="392"/>
      <c r="G25" s="392"/>
      <c r="H25" s="392"/>
      <c r="I25" s="392"/>
    </row>
    <row r="26" spans="1:17" s="282" customFormat="1" x14ac:dyDescent="0.3">
      <c r="A26" s="283"/>
      <c r="B26" s="283"/>
      <c r="C26" s="470"/>
      <c r="D26" s="470"/>
      <c r="E26" s="470"/>
      <c r="F26" s="470"/>
      <c r="G26" s="470"/>
      <c r="H26" s="470"/>
      <c r="I26" s="470"/>
      <c r="J26" s="283"/>
      <c r="K26" s="283"/>
      <c r="L26" s="283"/>
      <c r="M26" s="283"/>
      <c r="N26" s="283"/>
      <c r="O26" s="283"/>
      <c r="P26" s="283"/>
      <c r="Q26" s="283"/>
    </row>
    <row r="27" spans="1:17" s="282" customFormat="1" x14ac:dyDescent="0.3">
      <c r="C27" s="470"/>
      <c r="D27" s="470"/>
      <c r="E27" s="470"/>
      <c r="F27" s="470"/>
      <c r="G27" s="470"/>
      <c r="H27" s="470"/>
      <c r="I27" s="470"/>
    </row>
    <row r="28" spans="1:17" s="282" customFormat="1" x14ac:dyDescent="0.3">
      <c r="C28" s="470"/>
      <c r="D28" s="470"/>
      <c r="E28" s="470"/>
      <c r="F28" s="470"/>
      <c r="G28" s="470"/>
      <c r="H28" s="470"/>
      <c r="I28" s="470"/>
    </row>
    <row r="29" spans="1:17" s="282" customFormat="1" x14ac:dyDescent="0.3">
      <c r="C29" s="470"/>
      <c r="D29" s="470"/>
      <c r="E29" s="470"/>
      <c r="F29" s="470"/>
      <c r="G29" s="470"/>
      <c r="H29" s="470"/>
      <c r="I29" s="470"/>
    </row>
    <row r="30" spans="1:17" s="282" customFormat="1" x14ac:dyDescent="0.3">
      <c r="C30" s="470"/>
      <c r="D30" s="470"/>
      <c r="E30" s="470"/>
      <c r="F30" s="470"/>
      <c r="G30" s="470"/>
      <c r="H30" s="470"/>
      <c r="I30" s="470"/>
    </row>
    <row r="31" spans="1:17" s="282" customFormat="1" x14ac:dyDescent="0.3">
      <c r="C31" s="470"/>
      <c r="D31" s="470"/>
      <c r="E31" s="470"/>
      <c r="F31" s="470"/>
      <c r="G31" s="470"/>
      <c r="H31" s="470"/>
      <c r="I31" s="470"/>
    </row>
    <row r="32" spans="1:17" s="282" customFormat="1" x14ac:dyDescent="0.3">
      <c r="C32" s="470"/>
      <c r="D32" s="470"/>
      <c r="E32" s="470"/>
      <c r="F32" s="470"/>
      <c r="G32" s="470"/>
      <c r="H32" s="470"/>
      <c r="I32" s="470"/>
    </row>
    <row r="33" spans="3:9" s="282" customFormat="1" x14ac:dyDescent="0.3">
      <c r="C33" s="470"/>
      <c r="D33" s="470"/>
      <c r="E33" s="470"/>
      <c r="F33" s="470"/>
      <c r="G33" s="470"/>
      <c r="H33" s="470"/>
      <c r="I33" s="470"/>
    </row>
    <row r="34" spans="3:9" s="282" customFormat="1" x14ac:dyDescent="0.3">
      <c r="C34" s="470"/>
      <c r="D34" s="470"/>
      <c r="E34" s="470"/>
      <c r="F34" s="470"/>
      <c r="G34" s="470"/>
      <c r="H34" s="470"/>
      <c r="I34" s="470"/>
    </row>
    <row r="35" spans="3:9" s="282" customFormat="1" x14ac:dyDescent="0.3">
      <c r="C35" s="470"/>
      <c r="D35" s="470"/>
      <c r="E35" s="470"/>
      <c r="F35" s="470"/>
      <c r="G35" s="470"/>
      <c r="H35" s="470"/>
      <c r="I35" s="470"/>
    </row>
    <row r="36" spans="3:9" s="282" customFormat="1" x14ac:dyDescent="0.3">
      <c r="C36" s="470"/>
      <c r="D36" s="470"/>
      <c r="E36" s="470"/>
      <c r="F36" s="470"/>
      <c r="G36" s="470"/>
      <c r="H36" s="470"/>
      <c r="I36" s="470"/>
    </row>
    <row r="37" spans="3:9" s="282" customFormat="1" x14ac:dyDescent="0.3">
      <c r="C37" s="470"/>
      <c r="D37" s="470"/>
      <c r="E37" s="470"/>
      <c r="F37" s="470"/>
      <c r="G37" s="470"/>
      <c r="H37" s="470"/>
      <c r="I37" s="470"/>
    </row>
    <row r="38" spans="3:9" s="282" customFormat="1" x14ac:dyDescent="0.3">
      <c r="C38" s="470"/>
      <c r="D38" s="470"/>
      <c r="E38" s="470"/>
      <c r="F38" s="470"/>
      <c r="G38" s="470"/>
      <c r="H38" s="470"/>
      <c r="I38" s="470"/>
    </row>
    <row r="39" spans="3:9" s="282" customFormat="1" x14ac:dyDescent="0.3"/>
    <row r="40" spans="3:9" s="282" customFormat="1" x14ac:dyDescent="0.3"/>
  </sheetData>
  <mergeCells count="45">
    <mergeCell ref="N1:P1"/>
    <mergeCell ref="A1:B2"/>
    <mergeCell ref="C1:C2"/>
    <mergeCell ref="E1:G1"/>
    <mergeCell ref="H1:J1"/>
    <mergeCell ref="K1:M1"/>
    <mergeCell ref="C11:I11"/>
    <mergeCell ref="K11:Q11"/>
    <mergeCell ref="A3:B4"/>
    <mergeCell ref="A7:Q7"/>
    <mergeCell ref="C8:I8"/>
    <mergeCell ref="K8:Q8"/>
    <mergeCell ref="C9:I9"/>
    <mergeCell ref="C10:I10"/>
    <mergeCell ref="K10:Q10"/>
    <mergeCell ref="K9:Q9"/>
    <mergeCell ref="C27:I27"/>
    <mergeCell ref="C28:I28"/>
    <mergeCell ref="C29:I29"/>
    <mergeCell ref="A14:Q14"/>
    <mergeCell ref="C15:I15"/>
    <mergeCell ref="K15:Q15"/>
    <mergeCell ref="A16:A20"/>
    <mergeCell ref="C16:I16"/>
    <mergeCell ref="C17:I17"/>
    <mergeCell ref="C18:I18"/>
    <mergeCell ref="C19:I19"/>
    <mergeCell ref="K19:Q19"/>
    <mergeCell ref="K17:Q17"/>
    <mergeCell ref="C36:I36"/>
    <mergeCell ref="C37:I37"/>
    <mergeCell ref="C38:I38"/>
    <mergeCell ref="K16:Q16"/>
    <mergeCell ref="K18:Q18"/>
    <mergeCell ref="K20:Q20"/>
    <mergeCell ref="K21:Q21"/>
    <mergeCell ref="C30:I30"/>
    <mergeCell ref="C31:I31"/>
    <mergeCell ref="C32:I32"/>
    <mergeCell ref="C33:I33"/>
    <mergeCell ref="C34:I34"/>
    <mergeCell ref="C35:I35"/>
    <mergeCell ref="C20:I20"/>
    <mergeCell ref="C21:I21"/>
    <mergeCell ref="C26:I26"/>
  </mergeCells>
  <conditionalFormatting sqref="J1:J2 J9:J11">
    <cfRule type="containsText" dxfId="88" priority="11" operator="containsText" text="Дополнительно">
      <formula>NOT(ISERROR(SEARCH("Дополнительно",J1)))</formula>
    </cfRule>
    <cfRule type="expression" dxfId="87" priority="12">
      <formula>OR($J1 = "Готово", $J1 ="Не Делаем")</formula>
    </cfRule>
  </conditionalFormatting>
  <conditionalFormatting sqref="J7:J8">
    <cfRule type="expression" dxfId="86" priority="9">
      <formula>$J7 = "Перенос"</formula>
    </cfRule>
    <cfRule type="expression" dxfId="85" priority="10">
      <formula>OR($J7 = "Готово", $J7 ="Не Делаем")</formula>
    </cfRule>
  </conditionalFormatting>
  <conditionalFormatting sqref="J7:J8">
    <cfRule type="containsText" dxfId="84" priority="7" operator="containsText" text="Дополнительно">
      <formula>NOT(ISERROR(SEARCH("Дополнительно",J7)))</formula>
    </cfRule>
    <cfRule type="expression" dxfId="83" priority="8">
      <formula>OR($J7 = "Готово", $J7 ="Не Делаем")</formula>
    </cfRule>
  </conditionalFormatting>
  <conditionalFormatting sqref="J14:J15">
    <cfRule type="expression" dxfId="82" priority="3">
      <formula>$J14 = "Перенос"</formula>
    </cfRule>
    <cfRule type="expression" dxfId="81" priority="4">
      <formula>OR($J14 = "Готово", $J14 ="Не Делаем")</formula>
    </cfRule>
  </conditionalFormatting>
  <conditionalFormatting sqref="J14:J15">
    <cfRule type="containsText" dxfId="80" priority="1" operator="containsText" text="Дополнительно">
      <formula>NOT(ISERROR(SEARCH("Дополнительно",J14)))</formula>
    </cfRule>
    <cfRule type="expression" dxfId="79" priority="2">
      <formula>OR($J14 = "Готово", $J14 ="Не Делаем")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20B77-1CB3-48AE-BA88-B9978EF7ADAE}">
  <sheetPr codeName="Лист11"/>
  <dimension ref="A1:BE36"/>
  <sheetViews>
    <sheetView topLeftCell="A4" workbookViewId="0">
      <selection activeCell="J16" sqref="B16:J17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8.109375" customWidth="1"/>
    <col min="6" max="6" width="7.109375" customWidth="1"/>
    <col min="7" max="7" width="8.88671875" customWidth="1"/>
    <col min="10" max="10" width="11.44140625" bestFit="1" customWidth="1"/>
  </cols>
  <sheetData>
    <row r="1" spans="1:57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7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7" x14ac:dyDescent="0.3">
      <c r="A3" s="481"/>
      <c r="B3" s="482"/>
      <c r="C3" s="360"/>
      <c r="D3" s="375"/>
      <c r="E3" s="370"/>
      <c r="F3" s="370"/>
      <c r="G3" s="377"/>
      <c r="H3" s="370"/>
      <c r="I3" s="370"/>
      <c r="J3" s="377"/>
      <c r="K3" s="370"/>
      <c r="L3" s="370"/>
      <c r="M3" s="377"/>
      <c r="N3" s="370"/>
      <c r="O3" s="370"/>
      <c r="P3" s="377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7" x14ac:dyDescent="0.3">
      <c r="A4" s="483"/>
      <c r="B4" s="484"/>
      <c r="C4" s="360"/>
      <c r="D4" s="376"/>
      <c r="E4" s="371"/>
      <c r="F4" s="371"/>
      <c r="G4" s="377"/>
      <c r="H4" s="371"/>
      <c r="I4" s="371"/>
      <c r="J4" s="377"/>
      <c r="K4" s="371"/>
      <c r="L4" s="371"/>
      <c r="M4" s="377"/>
      <c r="N4" s="371"/>
      <c r="O4" s="371"/>
      <c r="P4" s="377"/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7" s="282" customFormat="1" x14ac:dyDescent="0.3">
      <c r="A5" s="293"/>
      <c r="B5" s="293"/>
      <c r="C5" s="6"/>
      <c r="D5" s="361"/>
      <c r="E5" s="6"/>
      <c r="F5" s="6"/>
      <c r="G5" s="362"/>
      <c r="H5" s="6"/>
      <c r="I5" s="6"/>
      <c r="J5" s="281"/>
      <c r="K5" s="6"/>
      <c r="L5" s="6"/>
      <c r="M5" s="281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</row>
    <row r="6" spans="1:57" s="282" customFormat="1" x14ac:dyDescent="0.3">
      <c r="A6" s="363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</row>
    <row r="7" spans="1:57" s="282" customFormat="1" ht="16.2" thickBot="1" x14ac:dyDescent="0.35">
      <c r="A7" s="451" t="s">
        <v>25</v>
      </c>
      <c r="B7" s="451"/>
      <c r="C7" s="451"/>
      <c r="D7" s="451"/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</row>
    <row r="8" spans="1:57" s="282" customFormat="1" x14ac:dyDescent="0.3">
      <c r="A8" s="336" t="s">
        <v>26</v>
      </c>
      <c r="B8" s="337" t="s">
        <v>27</v>
      </c>
      <c r="C8" s="452" t="s">
        <v>28</v>
      </c>
      <c r="D8" s="452"/>
      <c r="E8" s="452"/>
      <c r="F8" s="452"/>
      <c r="G8" s="452"/>
      <c r="H8" s="452"/>
      <c r="I8" s="452"/>
      <c r="J8" s="338" t="s">
        <v>29</v>
      </c>
      <c r="K8" s="452" t="s">
        <v>30</v>
      </c>
      <c r="L8" s="452"/>
      <c r="M8" s="452"/>
      <c r="N8" s="452"/>
      <c r="O8" s="452"/>
      <c r="P8" s="452"/>
      <c r="Q8" s="453"/>
    </row>
    <row r="9" spans="1:57" s="282" customFormat="1" x14ac:dyDescent="0.3">
      <c r="A9" s="342"/>
      <c r="B9" s="343"/>
      <c r="C9" s="485"/>
      <c r="D9" s="485"/>
      <c r="E9" s="485"/>
      <c r="F9" s="485"/>
      <c r="G9" s="485"/>
      <c r="H9" s="485"/>
      <c r="I9" s="485"/>
      <c r="J9" s="345"/>
      <c r="K9" s="429"/>
      <c r="L9" s="429"/>
      <c r="M9" s="429"/>
      <c r="N9" s="429"/>
      <c r="O9" s="429"/>
      <c r="P9" s="429"/>
      <c r="Q9" s="429"/>
    </row>
    <row r="10" spans="1:57" s="282" customFormat="1" x14ac:dyDescent="0.3">
      <c r="A10" s="342"/>
      <c r="B10" s="343"/>
      <c r="C10" s="485"/>
      <c r="D10" s="485"/>
      <c r="E10" s="485"/>
      <c r="F10" s="485"/>
      <c r="G10" s="485"/>
      <c r="H10" s="485"/>
      <c r="I10" s="485"/>
      <c r="J10" s="344"/>
      <c r="K10" s="429"/>
      <c r="L10" s="429"/>
      <c r="M10" s="429"/>
      <c r="N10" s="429"/>
      <c r="O10" s="429"/>
      <c r="P10" s="429"/>
      <c r="Q10" s="429"/>
    </row>
    <row r="11" spans="1:57" s="282" customFormat="1" ht="15" thickBot="1" x14ac:dyDescent="0.35">
      <c r="A11" s="348"/>
      <c r="B11" s="349"/>
      <c r="C11" s="480"/>
      <c r="D11" s="480"/>
      <c r="E11" s="480"/>
      <c r="F11" s="480"/>
      <c r="G11" s="480"/>
      <c r="H11" s="480"/>
      <c r="I11" s="480"/>
      <c r="J11" s="352"/>
      <c r="K11" s="432"/>
      <c r="L11" s="432"/>
      <c r="M11" s="432"/>
      <c r="N11" s="432"/>
      <c r="O11" s="432"/>
      <c r="P11" s="432"/>
      <c r="Q11" s="432"/>
    </row>
    <row r="12" spans="1:57" s="282" customFormat="1" x14ac:dyDescent="0.3"/>
    <row r="13" spans="1:57" s="282" customFormat="1" x14ac:dyDescent="0.3"/>
    <row r="14" spans="1:57" ht="16.2" thickBot="1" x14ac:dyDescent="0.35">
      <c r="A14" s="450" t="s">
        <v>42</v>
      </c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  <c r="Q14" s="450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2"/>
      <c r="AZ14" s="282"/>
      <c r="BA14" s="282"/>
      <c r="BB14" s="282"/>
      <c r="BC14" s="282"/>
      <c r="BD14" s="282"/>
      <c r="BE14" s="282"/>
    </row>
    <row r="15" spans="1:57" ht="14.4" customHeight="1" thickBot="1" x14ac:dyDescent="0.35">
      <c r="A15" s="291" t="s">
        <v>43</v>
      </c>
      <c r="B15" s="290" t="s">
        <v>27</v>
      </c>
      <c r="C15" s="434" t="s">
        <v>28</v>
      </c>
      <c r="D15" s="434"/>
      <c r="E15" s="434"/>
      <c r="F15" s="434"/>
      <c r="G15" s="434"/>
      <c r="H15" s="434"/>
      <c r="I15" s="434"/>
      <c r="J15" s="306" t="s">
        <v>29</v>
      </c>
      <c r="K15" s="434" t="s">
        <v>30</v>
      </c>
      <c r="L15" s="434"/>
      <c r="M15" s="434"/>
      <c r="N15" s="434"/>
      <c r="O15" s="434"/>
      <c r="P15" s="434"/>
      <c r="Q15" s="435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2"/>
      <c r="AZ15" s="282"/>
      <c r="BA15" s="282"/>
      <c r="BB15" s="282"/>
      <c r="BC15" s="282"/>
      <c r="BD15" s="282"/>
      <c r="BE15" s="282"/>
    </row>
    <row r="16" spans="1:57" ht="27" customHeight="1" thickBot="1" x14ac:dyDescent="0.35">
      <c r="A16" s="409">
        <v>43696</v>
      </c>
      <c r="B16" s="410" t="s">
        <v>23</v>
      </c>
      <c r="C16" s="488" t="s">
        <v>55</v>
      </c>
      <c r="D16" s="488"/>
      <c r="E16" s="488"/>
      <c r="F16" s="488"/>
      <c r="G16" s="488"/>
      <c r="H16" s="488"/>
      <c r="I16" s="488"/>
      <c r="J16" s="411"/>
      <c r="K16" s="489"/>
      <c r="L16" s="489"/>
      <c r="M16" s="489"/>
      <c r="N16" s="489"/>
      <c r="O16" s="489"/>
      <c r="P16" s="489"/>
      <c r="Q16" s="489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2"/>
      <c r="AZ16" s="282"/>
      <c r="BA16" s="282"/>
      <c r="BB16" s="282"/>
      <c r="BC16" s="282"/>
      <c r="BD16" s="282"/>
      <c r="BE16" s="282"/>
    </row>
    <row r="17" spans="1:57" ht="27" customHeight="1" thickBot="1" x14ac:dyDescent="0.35">
      <c r="A17" s="412">
        <v>43689</v>
      </c>
      <c r="B17" s="413" t="s">
        <v>23</v>
      </c>
      <c r="C17" s="490" t="s">
        <v>88</v>
      </c>
      <c r="D17" s="490"/>
      <c r="E17" s="490"/>
      <c r="F17" s="490"/>
      <c r="G17" s="490"/>
      <c r="H17" s="490"/>
      <c r="I17" s="490"/>
      <c r="J17" s="414" t="s">
        <v>59</v>
      </c>
      <c r="K17" s="491"/>
      <c r="L17" s="491"/>
      <c r="M17" s="491"/>
      <c r="N17" s="491"/>
      <c r="O17" s="491"/>
      <c r="P17" s="491"/>
      <c r="Q17" s="491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  <c r="AF17" s="282"/>
      <c r="AG17" s="282"/>
      <c r="AH17" s="282"/>
      <c r="AI17" s="282"/>
      <c r="AJ17" s="282"/>
      <c r="AK17" s="282"/>
      <c r="AL17" s="282"/>
      <c r="AM17" s="282"/>
      <c r="AN17" s="282"/>
      <c r="AO17" s="282"/>
      <c r="AP17" s="282"/>
      <c r="AQ17" s="282"/>
      <c r="AR17" s="282"/>
      <c r="AS17" s="282"/>
      <c r="AT17" s="282"/>
      <c r="AU17" s="282"/>
      <c r="AV17" s="282"/>
      <c r="AW17" s="282"/>
      <c r="AX17" s="282"/>
      <c r="AY17" s="282"/>
      <c r="AZ17" s="282"/>
      <c r="BA17" s="282"/>
      <c r="BB17" s="282"/>
      <c r="BC17" s="282"/>
      <c r="BD17" s="282"/>
      <c r="BE17" s="282"/>
    </row>
    <row r="18" spans="1:57" s="282" customFormat="1" x14ac:dyDescent="0.3">
      <c r="A18" s="283"/>
      <c r="B18" s="283"/>
      <c r="C18" s="398"/>
      <c r="D18" s="398"/>
      <c r="E18" s="398"/>
      <c r="F18" s="398"/>
      <c r="G18" s="398"/>
      <c r="H18" s="398"/>
      <c r="I18" s="398"/>
      <c r="J18" s="283"/>
      <c r="K18" s="283"/>
      <c r="L18" s="283"/>
      <c r="M18" s="283"/>
      <c r="N18" s="283"/>
      <c r="O18" s="283"/>
      <c r="P18" s="283"/>
      <c r="Q18" s="283"/>
    </row>
    <row r="19" spans="1:57" s="283" customFormat="1" x14ac:dyDescent="0.3">
      <c r="C19" s="398"/>
      <c r="D19" s="398"/>
      <c r="E19" s="398"/>
      <c r="F19" s="398"/>
      <c r="G19" s="398"/>
      <c r="H19" s="398"/>
      <c r="I19" s="398"/>
    </row>
    <row r="20" spans="1:57" s="283" customFormat="1" x14ac:dyDescent="0.3">
      <c r="C20" s="398"/>
      <c r="D20" s="398"/>
      <c r="E20" s="398"/>
      <c r="F20" s="398"/>
      <c r="G20" s="398"/>
      <c r="H20" s="398"/>
      <c r="I20" s="398"/>
    </row>
    <row r="21" spans="1:57" s="283" customFormat="1" x14ac:dyDescent="0.3">
      <c r="C21" s="398"/>
      <c r="D21" s="398"/>
      <c r="E21" s="398"/>
      <c r="F21" s="398"/>
      <c r="G21" s="398"/>
      <c r="H21" s="398"/>
      <c r="I21" s="398"/>
    </row>
    <row r="22" spans="1:57" s="282" customFormat="1" x14ac:dyDescent="0.3">
      <c r="A22" s="283"/>
      <c r="B22" s="283"/>
      <c r="C22" s="470"/>
      <c r="D22" s="470"/>
      <c r="E22" s="470"/>
      <c r="F22" s="470"/>
      <c r="G22" s="470"/>
      <c r="H22" s="470"/>
      <c r="I22" s="470"/>
      <c r="J22" s="283"/>
      <c r="K22" s="283"/>
      <c r="L22" s="283"/>
      <c r="M22" s="283"/>
      <c r="N22" s="283"/>
      <c r="O22" s="283"/>
      <c r="P22" s="283"/>
      <c r="Q22" s="283"/>
    </row>
    <row r="23" spans="1:57" s="282" customFormat="1" x14ac:dyDescent="0.3">
      <c r="C23" s="470"/>
      <c r="D23" s="470"/>
      <c r="E23" s="470"/>
      <c r="F23" s="470"/>
      <c r="G23" s="470"/>
      <c r="H23" s="470"/>
      <c r="I23" s="470"/>
    </row>
    <row r="24" spans="1:57" s="282" customFormat="1" x14ac:dyDescent="0.3">
      <c r="C24" s="470"/>
      <c r="D24" s="470"/>
      <c r="E24" s="470"/>
      <c r="F24" s="470"/>
      <c r="G24" s="470"/>
      <c r="H24" s="470"/>
      <c r="I24" s="470"/>
    </row>
    <row r="25" spans="1:57" s="282" customFormat="1" x14ac:dyDescent="0.3">
      <c r="C25" s="470"/>
      <c r="D25" s="470"/>
      <c r="E25" s="470"/>
      <c r="F25" s="470"/>
      <c r="G25" s="470"/>
      <c r="H25" s="470"/>
      <c r="I25" s="470"/>
    </row>
    <row r="26" spans="1:57" s="282" customFormat="1" x14ac:dyDescent="0.3">
      <c r="C26" s="470"/>
      <c r="D26" s="470"/>
      <c r="E26" s="470"/>
      <c r="F26" s="470"/>
      <c r="G26" s="470"/>
      <c r="H26" s="470"/>
      <c r="I26" s="470"/>
    </row>
    <row r="27" spans="1:57" s="282" customFormat="1" x14ac:dyDescent="0.3">
      <c r="C27" s="470"/>
      <c r="D27" s="470"/>
      <c r="E27" s="470"/>
      <c r="F27" s="470"/>
      <c r="G27" s="470"/>
      <c r="H27" s="470"/>
      <c r="I27" s="470"/>
    </row>
    <row r="28" spans="1:57" s="282" customFormat="1" x14ac:dyDescent="0.3">
      <c r="C28" s="470"/>
      <c r="D28" s="470"/>
      <c r="E28" s="470"/>
      <c r="F28" s="470"/>
      <c r="G28" s="470"/>
      <c r="H28" s="470"/>
      <c r="I28" s="470"/>
    </row>
    <row r="29" spans="1:57" s="282" customFormat="1" x14ac:dyDescent="0.3">
      <c r="C29" s="470"/>
      <c r="D29" s="470"/>
      <c r="E29" s="470"/>
      <c r="F29" s="470"/>
      <c r="G29" s="470"/>
      <c r="H29" s="470"/>
      <c r="I29" s="470"/>
    </row>
    <row r="30" spans="1:57" s="282" customFormat="1" x14ac:dyDescent="0.3">
      <c r="C30" s="470"/>
      <c r="D30" s="470"/>
      <c r="E30" s="470"/>
      <c r="F30" s="470"/>
      <c r="G30" s="470"/>
      <c r="H30" s="470"/>
      <c r="I30" s="470"/>
    </row>
    <row r="31" spans="1:57" s="282" customFormat="1" x14ac:dyDescent="0.3">
      <c r="C31" s="470"/>
      <c r="D31" s="470"/>
      <c r="E31" s="470"/>
      <c r="F31" s="470"/>
      <c r="G31" s="470"/>
      <c r="H31" s="470"/>
      <c r="I31" s="470"/>
    </row>
    <row r="32" spans="1:57" s="282" customFormat="1" x14ac:dyDescent="0.3">
      <c r="C32" s="470"/>
      <c r="D32" s="470"/>
      <c r="E32" s="470"/>
      <c r="F32" s="470"/>
      <c r="G32" s="470"/>
      <c r="H32" s="470"/>
      <c r="I32" s="470"/>
    </row>
    <row r="33" spans="3:9" s="282" customFormat="1" x14ac:dyDescent="0.3">
      <c r="C33" s="470"/>
      <c r="D33" s="470"/>
      <c r="E33" s="470"/>
      <c r="F33" s="470"/>
      <c r="G33" s="470"/>
      <c r="H33" s="470"/>
      <c r="I33" s="470"/>
    </row>
    <row r="34" spans="3:9" s="282" customFormat="1" x14ac:dyDescent="0.3">
      <c r="C34" s="470"/>
      <c r="D34" s="470"/>
      <c r="E34" s="470"/>
      <c r="F34" s="470"/>
      <c r="G34" s="470"/>
      <c r="H34" s="470"/>
      <c r="I34" s="470"/>
    </row>
    <row r="35" spans="3:9" s="282" customFormat="1" x14ac:dyDescent="0.3"/>
    <row r="36" spans="3:9" s="282" customFormat="1" x14ac:dyDescent="0.3"/>
  </sheetData>
  <mergeCells count="36">
    <mergeCell ref="C31:I31"/>
    <mergeCell ref="C32:I32"/>
    <mergeCell ref="C33:I33"/>
    <mergeCell ref="C34:I34"/>
    <mergeCell ref="C25:I25"/>
    <mergeCell ref="C26:I26"/>
    <mergeCell ref="C27:I27"/>
    <mergeCell ref="C28:I28"/>
    <mergeCell ref="C29:I29"/>
    <mergeCell ref="C30:I30"/>
    <mergeCell ref="C17:I17"/>
    <mergeCell ref="K17:Q17"/>
    <mergeCell ref="C22:I22"/>
    <mergeCell ref="C23:I23"/>
    <mergeCell ref="C24:I24"/>
    <mergeCell ref="C16:I16"/>
    <mergeCell ref="K16:Q16"/>
    <mergeCell ref="C10:I10"/>
    <mergeCell ref="K10:Q10"/>
    <mergeCell ref="C11:I11"/>
    <mergeCell ref="K11:Q11"/>
    <mergeCell ref="A14:Q14"/>
    <mergeCell ref="C15:I15"/>
    <mergeCell ref="K15:Q15"/>
    <mergeCell ref="A3:B4"/>
    <mergeCell ref="A7:Q7"/>
    <mergeCell ref="C8:I8"/>
    <mergeCell ref="K8:Q8"/>
    <mergeCell ref="C9:I9"/>
    <mergeCell ref="K9:Q9"/>
    <mergeCell ref="N1:P1"/>
    <mergeCell ref="A1:B2"/>
    <mergeCell ref="C1:C2"/>
    <mergeCell ref="E1:G1"/>
    <mergeCell ref="H1:J1"/>
    <mergeCell ref="K1:M1"/>
  </mergeCells>
  <conditionalFormatting sqref="J1:J2 J9:J11">
    <cfRule type="containsText" dxfId="78" priority="13" operator="containsText" text="Дополнительно">
      <formula>NOT(ISERROR(SEARCH("Дополнительно",J1)))</formula>
    </cfRule>
    <cfRule type="expression" dxfId="77" priority="14">
      <formula>OR($J1 = "Готово", $J1 ="Не Делаем")</formula>
    </cfRule>
  </conditionalFormatting>
  <conditionalFormatting sqref="J7:J8">
    <cfRule type="expression" dxfId="76" priority="11">
      <formula>$J7 = "Перенос"</formula>
    </cfRule>
    <cfRule type="expression" dxfId="75" priority="12">
      <formula>OR($J7 = "Готово", $J7 ="Не Делаем")</formula>
    </cfRule>
  </conditionalFormatting>
  <conditionalFormatting sqref="J7:J8">
    <cfRule type="containsText" dxfId="74" priority="9" operator="containsText" text="Дополнительно">
      <formula>NOT(ISERROR(SEARCH("Дополнительно",J7)))</formula>
    </cfRule>
    <cfRule type="expression" dxfId="73" priority="10">
      <formula>OR($J7 = "Готово", $J7 ="Не Делаем")</formula>
    </cfRule>
  </conditionalFormatting>
  <conditionalFormatting sqref="J14:J15">
    <cfRule type="expression" dxfId="72" priority="7">
      <formula>$J14 = "Перенос"</formula>
    </cfRule>
    <cfRule type="expression" dxfId="71" priority="8">
      <formula>OR($J14 = "Готово", $J14 ="Не Делаем")</formula>
    </cfRule>
  </conditionalFormatting>
  <conditionalFormatting sqref="J14:J15">
    <cfRule type="containsText" dxfId="70" priority="5" operator="containsText" text="Дополнительно">
      <formula>NOT(ISERROR(SEARCH("Дополнительно",J14)))</formula>
    </cfRule>
    <cfRule type="expression" dxfId="69" priority="6">
      <formula>OR($J14 = "Готово", $J14 ="Не Делаем")</formula>
    </cfRule>
  </conditionalFormatting>
  <conditionalFormatting sqref="J16">
    <cfRule type="containsText" dxfId="68" priority="3" operator="containsText" text="Дополнительно">
      <formula>NOT(ISERROR(SEARCH("Дополнительно",J16)))</formula>
    </cfRule>
    <cfRule type="expression" dxfId="67" priority="4">
      <formula>OR($J16 = "Готово", $J16 ="Не Делаем")</formula>
    </cfRule>
  </conditionalFormatting>
  <conditionalFormatting sqref="J17">
    <cfRule type="containsText" dxfId="66" priority="1" operator="containsText" text="Дополнительно">
      <formula>NOT(ISERROR(SEARCH("Дополнительно",J17)))</formula>
    </cfRule>
    <cfRule type="expression" dxfId="65" priority="2">
      <formula>OR($J17 = "Готово", $J17 ="Не Делаем")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4E309-BE1A-4F0B-A705-225AD7D4E52C}">
  <sheetPr codeName="Лист3"/>
  <dimension ref="A1:BE41"/>
  <sheetViews>
    <sheetView topLeftCell="A10" workbookViewId="0">
      <selection activeCell="B17" sqref="B17:Q23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8.109375" customWidth="1"/>
    <col min="6" max="6" width="7.109375" customWidth="1"/>
    <col min="7" max="7" width="8.88671875" customWidth="1"/>
    <col min="10" max="10" width="11.44140625" bestFit="1" customWidth="1"/>
  </cols>
  <sheetData>
    <row r="1" spans="1:57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7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7" x14ac:dyDescent="0.3">
      <c r="A3" s="481" t="s">
        <v>100</v>
      </c>
      <c r="B3" s="482"/>
      <c r="C3" s="372" t="s">
        <v>101</v>
      </c>
      <c r="D3" s="373">
        <v>244000</v>
      </c>
      <c r="E3" s="373">
        <v>18769</v>
      </c>
      <c r="F3" s="373">
        <v>8966</v>
      </c>
      <c r="G3" s="374">
        <f>F3/E3</f>
        <v>0.47770259470403326</v>
      </c>
      <c r="H3" s="373">
        <v>18769</v>
      </c>
      <c r="I3" s="373">
        <v>5900</v>
      </c>
      <c r="J3" s="374">
        <f t="shared" ref="J3:J5" si="0">I3/H3</f>
        <v>0.31434812723107253</v>
      </c>
      <c r="K3" s="373">
        <v>18769</v>
      </c>
      <c r="L3" s="373">
        <v>11700</v>
      </c>
      <c r="M3" s="374">
        <f t="shared" ref="M3:M5" si="1">L3/K3</f>
        <v>0.62336832010229637</v>
      </c>
      <c r="N3" s="373">
        <v>18769</v>
      </c>
      <c r="O3" s="373">
        <v>5000</v>
      </c>
      <c r="P3" s="374">
        <f t="shared" ref="P3:P5" si="2">O3/N3</f>
        <v>0.26639671799243431</v>
      </c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7" x14ac:dyDescent="0.3">
      <c r="A4" s="496"/>
      <c r="B4" s="497"/>
      <c r="C4" s="372" t="s">
        <v>102</v>
      </c>
      <c r="D4" s="373">
        <v>60000</v>
      </c>
      <c r="E4" s="373">
        <v>4615</v>
      </c>
      <c r="F4" s="373">
        <v>1925</v>
      </c>
      <c r="G4" s="374">
        <f t="shared" ref="G4:G5" si="3">F4/E4</f>
        <v>0.41711809317443121</v>
      </c>
      <c r="H4" s="373">
        <v>4615</v>
      </c>
      <c r="I4" s="373">
        <v>1880</v>
      </c>
      <c r="J4" s="374">
        <f t="shared" si="0"/>
        <v>0.40736728060671723</v>
      </c>
      <c r="K4" s="373">
        <v>4615</v>
      </c>
      <c r="L4" s="373">
        <v>1872</v>
      </c>
      <c r="M4" s="374">
        <f t="shared" si="1"/>
        <v>0.40563380281690142</v>
      </c>
      <c r="N4" s="373">
        <v>4615</v>
      </c>
      <c r="O4" s="373">
        <v>2000</v>
      </c>
      <c r="P4" s="374">
        <f t="shared" si="2"/>
        <v>0.4333694474539545</v>
      </c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7" x14ac:dyDescent="0.3">
      <c r="A5" s="483"/>
      <c r="B5" s="484"/>
      <c r="C5" s="372" t="s">
        <v>103</v>
      </c>
      <c r="D5" s="373">
        <v>15500</v>
      </c>
      <c r="E5" s="373">
        <v>1193</v>
      </c>
      <c r="F5" s="372">
        <v>145</v>
      </c>
      <c r="G5" s="374">
        <f t="shared" si="3"/>
        <v>0.12154233025984912</v>
      </c>
      <c r="H5" s="373">
        <v>1193</v>
      </c>
      <c r="I5" s="372">
        <v>221</v>
      </c>
      <c r="J5" s="374">
        <f t="shared" si="0"/>
        <v>0.18524727577535624</v>
      </c>
      <c r="K5" s="373">
        <v>1193</v>
      </c>
      <c r="L5" s="372">
        <v>629</v>
      </c>
      <c r="M5" s="374">
        <f t="shared" si="1"/>
        <v>0.52724224643755235</v>
      </c>
      <c r="N5" s="373">
        <v>1193</v>
      </c>
      <c r="O5" s="372">
        <v>128</v>
      </c>
      <c r="P5" s="374">
        <f t="shared" si="2"/>
        <v>0.10729253981559095</v>
      </c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</row>
    <row r="6" spans="1:57" s="282" customFormat="1" x14ac:dyDescent="0.3">
      <c r="A6" s="293"/>
      <c r="B6" s="293"/>
      <c r="C6" s="6"/>
      <c r="D6" s="361"/>
      <c r="E6" s="6"/>
      <c r="F6" s="6"/>
      <c r="G6" s="362"/>
      <c r="H6" s="6"/>
      <c r="I6" s="6"/>
      <c r="J6" s="281"/>
      <c r="K6" s="6"/>
      <c r="L6" s="6"/>
      <c r="M6" s="281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</row>
    <row r="7" spans="1:57" s="282" customFormat="1" x14ac:dyDescent="0.3">
      <c r="A7" s="363"/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</row>
    <row r="8" spans="1:57" s="282" customFormat="1" ht="16.2" thickBot="1" x14ac:dyDescent="0.35">
      <c r="A8" s="451" t="s">
        <v>25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  <c r="L8" s="451"/>
      <c r="M8" s="451"/>
      <c r="N8" s="451"/>
      <c r="O8" s="451"/>
      <c r="P8" s="451"/>
      <c r="Q8" s="451"/>
    </row>
    <row r="9" spans="1:57" s="282" customFormat="1" x14ac:dyDescent="0.3">
      <c r="A9" s="336" t="s">
        <v>26</v>
      </c>
      <c r="B9" s="337" t="s">
        <v>27</v>
      </c>
      <c r="C9" s="452" t="s">
        <v>28</v>
      </c>
      <c r="D9" s="452"/>
      <c r="E9" s="452"/>
      <c r="F9" s="452"/>
      <c r="G9" s="452"/>
      <c r="H9" s="452"/>
      <c r="I9" s="452"/>
      <c r="J9" s="338" t="s">
        <v>29</v>
      </c>
      <c r="K9" s="452" t="s">
        <v>30</v>
      </c>
      <c r="L9" s="452"/>
      <c r="M9" s="452"/>
      <c r="N9" s="452"/>
      <c r="O9" s="452"/>
      <c r="P9" s="452"/>
      <c r="Q9" s="453"/>
    </row>
    <row r="10" spans="1:57" s="282" customFormat="1" ht="27" customHeight="1" x14ac:dyDescent="0.3">
      <c r="A10" s="342">
        <v>43707</v>
      </c>
      <c r="B10" s="343" t="s">
        <v>100</v>
      </c>
      <c r="C10" s="485" t="s">
        <v>104</v>
      </c>
      <c r="D10" s="485"/>
      <c r="E10" s="485"/>
      <c r="F10" s="485"/>
      <c r="G10" s="485"/>
      <c r="H10" s="485"/>
      <c r="I10" s="485"/>
      <c r="J10" s="345" t="s">
        <v>32</v>
      </c>
      <c r="K10" s="389"/>
      <c r="L10" s="389"/>
      <c r="M10" s="389"/>
      <c r="N10" s="389"/>
      <c r="O10" s="389"/>
      <c r="P10" s="389"/>
      <c r="Q10" s="389"/>
    </row>
    <row r="11" spans="1:57" s="282" customFormat="1" ht="27" customHeight="1" x14ac:dyDescent="0.3">
      <c r="A11" s="342">
        <v>43727</v>
      </c>
      <c r="B11" s="343" t="s">
        <v>100</v>
      </c>
      <c r="C11" s="485" t="s">
        <v>105</v>
      </c>
      <c r="D11" s="485"/>
      <c r="E11" s="485"/>
      <c r="F11" s="485"/>
      <c r="G11" s="485"/>
      <c r="H11" s="485"/>
      <c r="I11" s="485"/>
      <c r="J11" s="344" t="s">
        <v>32</v>
      </c>
      <c r="K11" s="498" t="s">
        <v>106</v>
      </c>
      <c r="L11" s="499"/>
      <c r="M11" s="499"/>
      <c r="N11" s="499"/>
      <c r="O11" s="499"/>
      <c r="P11" s="499"/>
      <c r="Q11" s="499"/>
    </row>
    <row r="12" spans="1:57" s="282" customFormat="1" ht="27" customHeight="1" thickBot="1" x14ac:dyDescent="0.35">
      <c r="A12" s="348">
        <v>43707</v>
      </c>
      <c r="B12" s="349" t="s">
        <v>100</v>
      </c>
      <c r="C12" s="480" t="s">
        <v>107</v>
      </c>
      <c r="D12" s="480"/>
      <c r="E12" s="480"/>
      <c r="F12" s="480"/>
      <c r="G12" s="480"/>
      <c r="H12" s="480"/>
      <c r="I12" s="480"/>
      <c r="J12" s="352" t="s">
        <v>32</v>
      </c>
      <c r="K12" s="432"/>
      <c r="L12" s="432"/>
      <c r="M12" s="432"/>
      <c r="N12" s="432"/>
      <c r="O12" s="432"/>
      <c r="P12" s="432"/>
      <c r="Q12" s="432"/>
    </row>
    <row r="13" spans="1:57" s="282" customFormat="1" x14ac:dyDescent="0.3"/>
    <row r="14" spans="1:57" s="282" customFormat="1" x14ac:dyDescent="0.3"/>
    <row r="15" spans="1:57" ht="16.2" thickBot="1" x14ac:dyDescent="0.35">
      <c r="A15" s="450" t="s">
        <v>42</v>
      </c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  <c r="Q15" s="450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2"/>
      <c r="AH15" s="282"/>
      <c r="AI15" s="282"/>
      <c r="AJ15" s="282"/>
      <c r="AK15" s="282"/>
      <c r="AL15" s="282"/>
      <c r="AM15" s="282"/>
      <c r="AN15" s="282"/>
      <c r="AO15" s="282"/>
      <c r="AP15" s="282"/>
      <c r="AQ15" s="282"/>
      <c r="AR15" s="282"/>
      <c r="AS15" s="282"/>
      <c r="AT15" s="282"/>
      <c r="AU15" s="282"/>
      <c r="AV15" s="282"/>
      <c r="AW15" s="282"/>
      <c r="AX15" s="282"/>
      <c r="AY15" s="282"/>
      <c r="AZ15" s="282"/>
      <c r="BA15" s="282"/>
      <c r="BB15" s="282"/>
      <c r="BC15" s="282"/>
      <c r="BD15" s="282"/>
      <c r="BE15" s="282"/>
    </row>
    <row r="16" spans="1:57" ht="14.4" customHeight="1" x14ac:dyDescent="0.3">
      <c r="A16" s="336" t="s">
        <v>43</v>
      </c>
      <c r="B16" s="337" t="s">
        <v>27</v>
      </c>
      <c r="C16" s="452" t="s">
        <v>28</v>
      </c>
      <c r="D16" s="452"/>
      <c r="E16" s="452"/>
      <c r="F16" s="452"/>
      <c r="G16" s="452"/>
      <c r="H16" s="452"/>
      <c r="I16" s="452"/>
      <c r="J16" s="338" t="s">
        <v>29</v>
      </c>
      <c r="K16" s="452" t="s">
        <v>30</v>
      </c>
      <c r="L16" s="452"/>
      <c r="M16" s="452"/>
      <c r="N16" s="452"/>
      <c r="O16" s="452"/>
      <c r="P16" s="452"/>
      <c r="Q16" s="453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282"/>
      <c r="AS16" s="282"/>
      <c r="AT16" s="282"/>
      <c r="AU16" s="282"/>
      <c r="AV16" s="282"/>
      <c r="AW16" s="282"/>
      <c r="AX16" s="282"/>
      <c r="AY16" s="282"/>
      <c r="AZ16" s="282"/>
      <c r="BA16" s="282"/>
      <c r="BB16" s="282"/>
      <c r="BC16" s="282"/>
      <c r="BD16" s="282"/>
      <c r="BE16" s="282"/>
    </row>
    <row r="17" spans="1:57" s="405" customFormat="1" ht="27" customHeight="1" x14ac:dyDescent="0.3">
      <c r="A17" s="476">
        <v>43696</v>
      </c>
      <c r="B17" s="403" t="s">
        <v>100</v>
      </c>
      <c r="C17" s="475" t="s">
        <v>324</v>
      </c>
      <c r="D17" s="475"/>
      <c r="E17" s="475"/>
      <c r="F17" s="475"/>
      <c r="G17" s="475"/>
      <c r="H17" s="475"/>
      <c r="I17" s="475"/>
      <c r="J17" s="404"/>
      <c r="K17" s="404"/>
      <c r="L17" s="404"/>
      <c r="M17" s="404"/>
      <c r="N17" s="404"/>
      <c r="O17" s="404"/>
      <c r="P17" s="404"/>
      <c r="Q17" s="404"/>
    </row>
    <row r="18" spans="1:57" s="405" customFormat="1" ht="27" customHeight="1" x14ac:dyDescent="0.3">
      <c r="A18" s="476"/>
      <c r="B18" s="403" t="s">
        <v>100</v>
      </c>
      <c r="C18" s="479" t="s">
        <v>325</v>
      </c>
      <c r="D18" s="479"/>
      <c r="E18" s="479"/>
      <c r="F18" s="479"/>
      <c r="G18" s="479"/>
      <c r="H18" s="479"/>
      <c r="I18" s="479"/>
      <c r="J18" s="404"/>
      <c r="K18" s="404"/>
      <c r="L18" s="404"/>
      <c r="M18" s="404"/>
      <c r="N18" s="404"/>
      <c r="O18" s="404"/>
      <c r="P18" s="404"/>
      <c r="Q18" s="404"/>
    </row>
    <row r="19" spans="1:57" s="405" customFormat="1" ht="27" customHeight="1" x14ac:dyDescent="0.3">
      <c r="A19" s="476"/>
      <c r="B19" s="403" t="s">
        <v>100</v>
      </c>
      <c r="C19" s="479" t="s">
        <v>326</v>
      </c>
      <c r="D19" s="479"/>
      <c r="E19" s="479"/>
      <c r="F19" s="479"/>
      <c r="G19" s="479"/>
      <c r="H19" s="479"/>
      <c r="I19" s="479"/>
      <c r="J19" s="404"/>
      <c r="K19" s="404"/>
      <c r="L19" s="404"/>
      <c r="M19" s="404"/>
      <c r="N19" s="404"/>
      <c r="O19" s="404"/>
      <c r="P19" s="404"/>
      <c r="Q19" s="404"/>
    </row>
    <row r="20" spans="1:57" ht="27" customHeight="1" thickBot="1" x14ac:dyDescent="0.35">
      <c r="A20" s="476"/>
      <c r="B20" s="406" t="s">
        <v>23</v>
      </c>
      <c r="C20" s="430" t="s">
        <v>56</v>
      </c>
      <c r="D20" s="430"/>
      <c r="E20" s="430"/>
      <c r="F20" s="430"/>
      <c r="G20" s="430"/>
      <c r="H20" s="430"/>
      <c r="I20" s="430"/>
      <c r="J20" s="344"/>
      <c r="K20" s="396"/>
      <c r="L20" s="396"/>
      <c r="M20" s="396"/>
      <c r="N20" s="396"/>
      <c r="O20" s="396"/>
      <c r="P20" s="396"/>
      <c r="Q20" s="396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</row>
    <row r="21" spans="1:57" s="282" customFormat="1" ht="27" customHeight="1" x14ac:dyDescent="0.3">
      <c r="A21" s="493">
        <v>43689</v>
      </c>
      <c r="B21" s="407" t="s">
        <v>100</v>
      </c>
      <c r="C21" s="492" t="s">
        <v>108</v>
      </c>
      <c r="D21" s="492"/>
      <c r="E21" s="492"/>
      <c r="F21" s="492"/>
      <c r="G21" s="492"/>
      <c r="H21" s="492"/>
      <c r="I21" s="492"/>
      <c r="J21" s="388" t="s">
        <v>59</v>
      </c>
      <c r="K21" s="492" t="s">
        <v>109</v>
      </c>
      <c r="L21" s="492"/>
      <c r="M21" s="492"/>
      <c r="N21" s="492"/>
      <c r="O21" s="492"/>
      <c r="P21" s="492"/>
      <c r="Q21" s="492"/>
    </row>
    <row r="22" spans="1:57" s="282" customFormat="1" ht="27" customHeight="1" x14ac:dyDescent="0.3">
      <c r="A22" s="494"/>
      <c r="B22" s="406" t="s">
        <v>100</v>
      </c>
      <c r="C22" s="479" t="s">
        <v>110</v>
      </c>
      <c r="D22" s="479"/>
      <c r="E22" s="479"/>
      <c r="F22" s="479"/>
      <c r="G22" s="479"/>
      <c r="H22" s="479"/>
      <c r="I22" s="479"/>
      <c r="J22" s="309" t="s">
        <v>59</v>
      </c>
      <c r="K22" s="479" t="s">
        <v>327</v>
      </c>
      <c r="L22" s="479"/>
      <c r="M22" s="479"/>
      <c r="N22" s="479"/>
      <c r="O22" s="479"/>
      <c r="P22" s="479"/>
      <c r="Q22" s="479"/>
    </row>
    <row r="23" spans="1:57" s="282" customFormat="1" ht="27" customHeight="1" thickBot="1" x14ac:dyDescent="0.35">
      <c r="A23" s="495"/>
      <c r="B23" s="408" t="s">
        <v>100</v>
      </c>
      <c r="C23" s="474" t="s">
        <v>111</v>
      </c>
      <c r="D23" s="474"/>
      <c r="E23" s="474"/>
      <c r="F23" s="474"/>
      <c r="G23" s="474"/>
      <c r="H23" s="474"/>
      <c r="I23" s="474"/>
      <c r="J23" s="310" t="s">
        <v>59</v>
      </c>
      <c r="K23" s="474" t="s">
        <v>112</v>
      </c>
      <c r="L23" s="474"/>
      <c r="M23" s="474"/>
      <c r="N23" s="474"/>
      <c r="O23" s="474"/>
      <c r="P23" s="474"/>
      <c r="Q23" s="474"/>
    </row>
    <row r="24" spans="1:57" s="283" customFormat="1" x14ac:dyDescent="0.3">
      <c r="C24" s="392"/>
      <c r="D24" s="392"/>
      <c r="E24" s="392"/>
      <c r="F24" s="392"/>
      <c r="G24" s="392"/>
      <c r="H24" s="392"/>
      <c r="I24" s="392"/>
    </row>
    <row r="25" spans="1:57" s="283" customFormat="1" x14ac:dyDescent="0.3">
      <c r="C25" s="392"/>
      <c r="D25" s="392"/>
      <c r="E25" s="392"/>
      <c r="F25" s="392"/>
      <c r="G25" s="392"/>
      <c r="H25" s="392"/>
      <c r="I25" s="392"/>
    </row>
    <row r="26" spans="1:57" s="283" customFormat="1" x14ac:dyDescent="0.3">
      <c r="C26" s="392"/>
      <c r="D26" s="392"/>
      <c r="E26" s="392"/>
      <c r="F26" s="392"/>
      <c r="G26" s="392"/>
      <c r="H26" s="392"/>
      <c r="I26" s="392"/>
    </row>
    <row r="27" spans="1:57" s="282" customFormat="1" x14ac:dyDescent="0.3">
      <c r="A27" s="283"/>
      <c r="B27" s="283"/>
      <c r="C27" s="470"/>
      <c r="D27" s="470"/>
      <c r="E27" s="470"/>
      <c r="F27" s="470"/>
      <c r="G27" s="470"/>
      <c r="H27" s="470"/>
      <c r="I27" s="470"/>
      <c r="J27" s="283"/>
      <c r="K27" s="283"/>
      <c r="L27" s="283"/>
      <c r="M27" s="283"/>
      <c r="N27" s="283"/>
      <c r="O27" s="283"/>
      <c r="P27" s="283"/>
      <c r="Q27" s="283"/>
    </row>
    <row r="28" spans="1:57" s="282" customFormat="1" x14ac:dyDescent="0.3">
      <c r="C28" s="470"/>
      <c r="D28" s="470"/>
      <c r="E28" s="470"/>
      <c r="F28" s="470"/>
      <c r="G28" s="470"/>
      <c r="H28" s="470"/>
      <c r="I28" s="470"/>
    </row>
    <row r="29" spans="1:57" s="282" customFormat="1" x14ac:dyDescent="0.3">
      <c r="C29" s="470"/>
      <c r="D29" s="470"/>
      <c r="E29" s="470"/>
      <c r="F29" s="470"/>
      <c r="G29" s="470"/>
      <c r="H29" s="470"/>
      <c r="I29" s="470"/>
    </row>
    <row r="30" spans="1:57" s="282" customFormat="1" x14ac:dyDescent="0.3">
      <c r="C30" s="470"/>
      <c r="D30" s="470"/>
      <c r="E30" s="470"/>
      <c r="F30" s="470"/>
      <c r="G30" s="470"/>
      <c r="H30" s="470"/>
      <c r="I30" s="470"/>
    </row>
    <row r="31" spans="1:57" s="282" customFormat="1" x14ac:dyDescent="0.3">
      <c r="C31" s="470"/>
      <c r="D31" s="470"/>
      <c r="E31" s="470"/>
      <c r="F31" s="470"/>
      <c r="G31" s="470"/>
      <c r="H31" s="470"/>
      <c r="I31" s="470"/>
    </row>
    <row r="32" spans="1:57" s="282" customFormat="1" x14ac:dyDescent="0.3">
      <c r="C32" s="470"/>
      <c r="D32" s="470"/>
      <c r="E32" s="470"/>
      <c r="F32" s="470"/>
      <c r="G32" s="470"/>
      <c r="H32" s="470"/>
      <c r="I32" s="470"/>
    </row>
    <row r="33" spans="3:9" s="282" customFormat="1" x14ac:dyDescent="0.3">
      <c r="C33" s="470"/>
      <c r="D33" s="470"/>
      <c r="E33" s="470"/>
      <c r="F33" s="470"/>
      <c r="G33" s="470"/>
      <c r="H33" s="470"/>
      <c r="I33" s="470"/>
    </row>
    <row r="34" spans="3:9" s="282" customFormat="1" x14ac:dyDescent="0.3">
      <c r="C34" s="470"/>
      <c r="D34" s="470"/>
      <c r="E34" s="470"/>
      <c r="F34" s="470"/>
      <c r="G34" s="470"/>
      <c r="H34" s="470"/>
      <c r="I34" s="470"/>
    </row>
    <row r="35" spans="3:9" s="282" customFormat="1" x14ac:dyDescent="0.3">
      <c r="C35" s="470"/>
      <c r="D35" s="470"/>
      <c r="E35" s="470"/>
      <c r="F35" s="470"/>
      <c r="G35" s="470"/>
      <c r="H35" s="470"/>
      <c r="I35" s="470"/>
    </row>
    <row r="36" spans="3:9" s="282" customFormat="1" x14ac:dyDescent="0.3">
      <c r="C36" s="470"/>
      <c r="D36" s="470"/>
      <c r="E36" s="470"/>
      <c r="F36" s="470"/>
      <c r="G36" s="470"/>
      <c r="H36" s="470"/>
      <c r="I36" s="470"/>
    </row>
    <row r="37" spans="3:9" s="282" customFormat="1" x14ac:dyDescent="0.3">
      <c r="C37" s="470"/>
      <c r="D37" s="470"/>
      <c r="E37" s="470"/>
      <c r="F37" s="470"/>
      <c r="G37" s="470"/>
      <c r="H37" s="470"/>
      <c r="I37" s="470"/>
    </row>
    <row r="38" spans="3:9" s="282" customFormat="1" x14ac:dyDescent="0.3">
      <c r="C38" s="470"/>
      <c r="D38" s="470"/>
      <c r="E38" s="470"/>
      <c r="F38" s="470"/>
      <c r="G38" s="470"/>
      <c r="H38" s="470"/>
      <c r="I38" s="470"/>
    </row>
    <row r="39" spans="3:9" s="282" customFormat="1" x14ac:dyDescent="0.3">
      <c r="C39" s="470"/>
      <c r="D39" s="470"/>
      <c r="E39" s="470"/>
      <c r="F39" s="470"/>
      <c r="G39" s="470"/>
      <c r="H39" s="470"/>
      <c r="I39" s="470"/>
    </row>
    <row r="40" spans="3:9" s="282" customFormat="1" x14ac:dyDescent="0.3"/>
    <row r="41" spans="3:9" s="282" customFormat="1" x14ac:dyDescent="0.3"/>
  </sheetData>
  <mergeCells count="43">
    <mergeCell ref="N1:P1"/>
    <mergeCell ref="A1:B2"/>
    <mergeCell ref="C1:C2"/>
    <mergeCell ref="E1:G1"/>
    <mergeCell ref="H1:J1"/>
    <mergeCell ref="K1:M1"/>
    <mergeCell ref="C37:I37"/>
    <mergeCell ref="C23:I23"/>
    <mergeCell ref="C12:I12"/>
    <mergeCell ref="K12:Q12"/>
    <mergeCell ref="A3:B5"/>
    <mergeCell ref="A8:Q8"/>
    <mergeCell ref="C9:I9"/>
    <mergeCell ref="K9:Q9"/>
    <mergeCell ref="C10:I10"/>
    <mergeCell ref="C11:I11"/>
    <mergeCell ref="K11:Q11"/>
    <mergeCell ref="C18:I18"/>
    <mergeCell ref="C17:I17"/>
    <mergeCell ref="A17:A20"/>
    <mergeCell ref="C20:I20"/>
    <mergeCell ref="C19:I19"/>
    <mergeCell ref="C30:I30"/>
    <mergeCell ref="A15:Q15"/>
    <mergeCell ref="C16:I16"/>
    <mergeCell ref="K16:Q16"/>
    <mergeCell ref="A21:A23"/>
    <mergeCell ref="C39:I39"/>
    <mergeCell ref="K21:Q21"/>
    <mergeCell ref="K22:Q22"/>
    <mergeCell ref="K23:Q23"/>
    <mergeCell ref="C31:I31"/>
    <mergeCell ref="C32:I32"/>
    <mergeCell ref="C33:I33"/>
    <mergeCell ref="C34:I34"/>
    <mergeCell ref="C35:I35"/>
    <mergeCell ref="C36:I36"/>
    <mergeCell ref="C21:I21"/>
    <mergeCell ref="C22:I22"/>
    <mergeCell ref="C38:I38"/>
    <mergeCell ref="C27:I27"/>
    <mergeCell ref="C28:I28"/>
    <mergeCell ref="C29:I29"/>
  </mergeCells>
  <conditionalFormatting sqref="J1:J2 J10:J12">
    <cfRule type="containsText" dxfId="64" priority="14" operator="containsText" text="Дополнительно">
      <formula>NOT(ISERROR(SEARCH("Дополнительно",J1)))</formula>
    </cfRule>
    <cfRule type="expression" dxfId="63" priority="15">
      <formula>OR($J1 = "Готово", $J1 ="Не Делаем")</formula>
    </cfRule>
  </conditionalFormatting>
  <conditionalFormatting sqref="J8:J9">
    <cfRule type="expression" dxfId="62" priority="12">
      <formula>$J8 = "Перенос"</formula>
    </cfRule>
    <cfRule type="expression" dxfId="61" priority="13">
      <formula>OR($J8 = "Готово", $J8 ="Не Делаем")</formula>
    </cfRule>
  </conditionalFormatting>
  <conditionalFormatting sqref="J8:J9">
    <cfRule type="containsText" dxfId="60" priority="10" operator="containsText" text="Дополнительно">
      <formula>NOT(ISERROR(SEARCH("Дополнительно",J8)))</formula>
    </cfRule>
    <cfRule type="expression" dxfId="59" priority="11">
      <formula>OR($J8 = "Готово", $J8 ="Не Делаем")</formula>
    </cfRule>
  </conditionalFormatting>
  <conditionalFormatting sqref="J15:J16">
    <cfRule type="expression" dxfId="58" priority="6">
      <formula>$J15 = "Перенос"</formula>
    </cfRule>
    <cfRule type="expression" dxfId="57" priority="7">
      <formula>OR($J15 = "Готово", $J15 ="Не Делаем")</formula>
    </cfRule>
  </conditionalFormatting>
  <conditionalFormatting sqref="J15:J16">
    <cfRule type="containsText" dxfId="56" priority="4" operator="containsText" text="Дополнительно">
      <formula>NOT(ISERROR(SEARCH("Дополнительно",J15)))</formula>
    </cfRule>
    <cfRule type="expression" dxfId="55" priority="5">
      <formula>OR($J15 = "Готово", $J15 ="Не Делаем")</formula>
    </cfRule>
  </conditionalFormatting>
  <conditionalFormatting sqref="J20">
    <cfRule type="containsText" dxfId="54" priority="2" operator="containsText" text="Дополнительно">
      <formula>NOT(ISERROR(SEARCH("Дополнительно",J20)))</formula>
    </cfRule>
    <cfRule type="expression" dxfId="53" priority="3">
      <formula>OR($J20 = "Готово", $J20 ="Не Делаем")</formula>
    </cfRule>
  </conditionalFormatting>
  <conditionalFormatting sqref="J1:J1048576">
    <cfRule type="expression" dxfId="52" priority="1">
      <formula>OR($J1 = "Готово", $J1 ="Не Делаем")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6B79-0B66-4179-B6D2-2263C3E95999}">
  <sheetPr codeName="Лист4"/>
  <dimension ref="A1:BE62"/>
  <sheetViews>
    <sheetView topLeftCell="A41" workbookViewId="0">
      <selection activeCell="C53" sqref="C53:I53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9.33203125" bestFit="1" customWidth="1"/>
    <col min="6" max="6" width="7.109375" customWidth="1"/>
    <col min="7" max="7" width="8.88671875" customWidth="1"/>
    <col min="10" max="10" width="11.44140625" bestFit="1" customWidth="1"/>
  </cols>
  <sheetData>
    <row r="1" spans="1:55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5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5" x14ac:dyDescent="0.3">
      <c r="A3" s="481" t="s">
        <v>113</v>
      </c>
      <c r="B3" s="482"/>
      <c r="C3" s="380" t="s">
        <v>114</v>
      </c>
      <c r="D3" s="381">
        <v>12000</v>
      </c>
      <c r="E3" s="378">
        <v>3000</v>
      </c>
      <c r="F3" s="378">
        <v>2235</v>
      </c>
      <c r="G3" s="329">
        <f>F3/E3</f>
        <v>0.745</v>
      </c>
      <c r="H3" s="378">
        <v>3000</v>
      </c>
      <c r="I3" s="378">
        <v>2382</v>
      </c>
      <c r="J3" s="329">
        <f>I3/H3</f>
        <v>0.79400000000000004</v>
      </c>
      <c r="K3" s="378">
        <v>3000</v>
      </c>
      <c r="L3" s="378">
        <v>2386</v>
      </c>
      <c r="M3" s="329">
        <f>L3/K3</f>
        <v>0.79533333333333334</v>
      </c>
      <c r="N3" s="378">
        <v>2550</v>
      </c>
      <c r="O3" s="378">
        <v>2616</v>
      </c>
      <c r="P3" s="329">
        <f>O3/N3</f>
        <v>1.0258823529411765</v>
      </c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5" x14ac:dyDescent="0.3">
      <c r="A4" s="496"/>
      <c r="B4" s="497"/>
      <c r="C4" s="380" t="s">
        <v>115</v>
      </c>
      <c r="D4" s="382">
        <v>0.73</v>
      </c>
      <c r="E4" s="379">
        <v>0.73</v>
      </c>
      <c r="F4" s="379">
        <v>0.502</v>
      </c>
      <c r="G4" s="329">
        <f t="shared" ref="G4:G7" si="0">F4/E4</f>
        <v>0.68767123287671239</v>
      </c>
      <c r="H4" s="379">
        <v>0.73</v>
      </c>
      <c r="I4" s="379">
        <v>0.49199999999999999</v>
      </c>
      <c r="J4" s="329">
        <f t="shared" ref="J4:J7" si="1">I4/H4</f>
        <v>0.67397260273972603</v>
      </c>
      <c r="K4" s="379">
        <v>0.73</v>
      </c>
      <c r="L4" s="379">
        <v>0.48599999999999999</v>
      </c>
      <c r="M4" s="329">
        <f t="shared" ref="M4:M7" si="2">L4/K4</f>
        <v>0.66575342465753429</v>
      </c>
      <c r="N4" s="379">
        <v>0.63</v>
      </c>
      <c r="O4" s="379">
        <v>0.50700000000000001</v>
      </c>
      <c r="P4" s="329">
        <f t="shared" ref="P4:P7" si="3">O4/N4</f>
        <v>0.80476190476190479</v>
      </c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5" x14ac:dyDescent="0.3">
      <c r="A5" s="496"/>
      <c r="B5" s="497"/>
      <c r="C5" s="380" t="s">
        <v>116</v>
      </c>
      <c r="D5" s="381">
        <v>8000</v>
      </c>
      <c r="E5" s="378">
        <v>2000</v>
      </c>
      <c r="F5" s="378">
        <v>1803</v>
      </c>
      <c r="G5" s="329">
        <f t="shared" si="0"/>
        <v>0.90149999999999997</v>
      </c>
      <c r="H5" s="378">
        <v>2000</v>
      </c>
      <c r="I5" s="378">
        <v>1787</v>
      </c>
      <c r="J5" s="329">
        <f t="shared" si="1"/>
        <v>0.89349999999999996</v>
      </c>
      <c r="K5" s="378">
        <v>2000</v>
      </c>
      <c r="L5" s="378">
        <v>1929</v>
      </c>
      <c r="M5" s="329">
        <f t="shared" si="2"/>
        <v>0.96450000000000002</v>
      </c>
      <c r="N5" s="378">
        <v>1700</v>
      </c>
      <c r="O5" s="378">
        <v>2271</v>
      </c>
      <c r="P5" s="329">
        <f t="shared" si="3"/>
        <v>1.3358823529411765</v>
      </c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</row>
    <row r="6" spans="1:55" x14ac:dyDescent="0.3">
      <c r="A6" s="496"/>
      <c r="B6" s="497"/>
      <c r="C6" s="380" t="s">
        <v>117</v>
      </c>
      <c r="D6" s="382">
        <v>0.4</v>
      </c>
      <c r="E6" s="379">
        <v>0.4</v>
      </c>
      <c r="F6" s="379">
        <v>0.32</v>
      </c>
      <c r="G6" s="329">
        <f t="shared" si="0"/>
        <v>0.79999999999999993</v>
      </c>
      <c r="H6" s="379">
        <v>0.4</v>
      </c>
      <c r="I6" s="379">
        <v>0.29699999999999999</v>
      </c>
      <c r="J6" s="329">
        <f t="shared" si="1"/>
        <v>0.74249999999999994</v>
      </c>
      <c r="K6" s="379">
        <v>0.4</v>
      </c>
      <c r="L6" s="379">
        <v>0.30199999999999999</v>
      </c>
      <c r="M6" s="329">
        <f t="shared" si="2"/>
        <v>0.75499999999999989</v>
      </c>
      <c r="N6" s="379">
        <v>0.28000000000000003</v>
      </c>
      <c r="O6" s="379">
        <v>0.28499999999999998</v>
      </c>
      <c r="P6" s="329">
        <f t="shared" si="3"/>
        <v>1.0178571428571426</v>
      </c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</row>
    <row r="7" spans="1:55" x14ac:dyDescent="0.3">
      <c r="A7" s="483"/>
      <c r="B7" s="484"/>
      <c r="C7" s="380" t="s">
        <v>118</v>
      </c>
      <c r="D7" s="381">
        <v>65000</v>
      </c>
      <c r="E7" s="378">
        <v>5000</v>
      </c>
      <c r="F7" s="378">
        <v>3015</v>
      </c>
      <c r="G7" s="329">
        <f t="shared" si="0"/>
        <v>0.60299999999999998</v>
      </c>
      <c r="H7" s="378">
        <v>5000</v>
      </c>
      <c r="I7" s="378">
        <v>3040</v>
      </c>
      <c r="J7" s="329">
        <f t="shared" si="1"/>
        <v>0.60799999999999998</v>
      </c>
      <c r="K7" s="378">
        <v>5000</v>
      </c>
      <c r="L7" s="378">
        <v>2700</v>
      </c>
      <c r="M7" s="329">
        <f t="shared" si="2"/>
        <v>0.54</v>
      </c>
      <c r="N7" s="378">
        <v>5000</v>
      </c>
      <c r="O7" s="378">
        <v>2959</v>
      </c>
      <c r="P7" s="329">
        <f t="shared" si="3"/>
        <v>0.59179999999999999</v>
      </c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2"/>
      <c r="AH7" s="282"/>
      <c r="AI7" s="282"/>
      <c r="AJ7" s="282"/>
      <c r="AK7" s="282"/>
      <c r="AL7" s="282"/>
      <c r="AM7" s="282"/>
      <c r="AN7" s="282"/>
      <c r="AO7" s="282"/>
      <c r="AP7" s="282"/>
      <c r="AQ7" s="282"/>
      <c r="AR7" s="282"/>
      <c r="AS7" s="282"/>
      <c r="AT7" s="282"/>
      <c r="AU7" s="282"/>
      <c r="AV7" s="282"/>
      <c r="AW7" s="282"/>
      <c r="AX7" s="282"/>
      <c r="AY7" s="282"/>
      <c r="AZ7" s="282"/>
      <c r="BA7" s="282"/>
      <c r="BB7" s="282"/>
      <c r="BC7" s="282"/>
    </row>
    <row r="8" spans="1:55" s="282" customFormat="1" x14ac:dyDescent="0.3">
      <c r="A8" s="293"/>
      <c r="B8" s="293"/>
      <c r="C8" s="6"/>
      <c r="D8" s="361"/>
      <c r="E8" s="6"/>
      <c r="F8" s="6"/>
      <c r="G8" s="362"/>
      <c r="H8" s="6"/>
      <c r="I8" s="6"/>
      <c r="J8" s="281"/>
      <c r="K8" s="6"/>
      <c r="L8" s="6"/>
      <c r="M8" s="281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</row>
    <row r="9" spans="1:55" s="282" customFormat="1" x14ac:dyDescent="0.3">
      <c r="A9" s="363"/>
      <c r="B9" s="283"/>
      <c r="C9" s="283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P9" s="283"/>
      <c r="Q9" s="283"/>
    </row>
    <row r="10" spans="1:55" s="282" customFormat="1" ht="16.2" thickBot="1" x14ac:dyDescent="0.35">
      <c r="A10" s="451" t="s">
        <v>25</v>
      </c>
      <c r="B10" s="451"/>
      <c r="C10" s="451"/>
      <c r="D10" s="451"/>
      <c r="E10" s="451"/>
      <c r="F10" s="451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</row>
    <row r="11" spans="1:55" s="282" customFormat="1" x14ac:dyDescent="0.3">
      <c r="A11" s="336" t="s">
        <v>26</v>
      </c>
      <c r="B11" s="337" t="s">
        <v>27</v>
      </c>
      <c r="C11" s="452" t="s">
        <v>28</v>
      </c>
      <c r="D11" s="452"/>
      <c r="E11" s="452"/>
      <c r="F11" s="452"/>
      <c r="G11" s="452"/>
      <c r="H11" s="452"/>
      <c r="I11" s="452"/>
      <c r="J11" s="338" t="s">
        <v>29</v>
      </c>
      <c r="K11" s="452" t="s">
        <v>30</v>
      </c>
      <c r="L11" s="452"/>
      <c r="M11" s="452"/>
      <c r="N11" s="452"/>
      <c r="O11" s="452"/>
      <c r="P11" s="452"/>
      <c r="Q11" s="453"/>
    </row>
    <row r="12" spans="1:55" s="282" customFormat="1" ht="27" customHeight="1" x14ac:dyDescent="0.3">
      <c r="A12" s="342">
        <v>43696</v>
      </c>
      <c r="B12" s="343" t="s">
        <v>113</v>
      </c>
      <c r="C12" s="485" t="s">
        <v>119</v>
      </c>
      <c r="D12" s="485"/>
      <c r="E12" s="485"/>
      <c r="F12" s="485"/>
      <c r="G12" s="485"/>
      <c r="H12" s="485"/>
      <c r="I12" s="485"/>
      <c r="J12" s="345" t="s">
        <v>59</v>
      </c>
      <c r="K12" s="499" t="s">
        <v>120</v>
      </c>
      <c r="L12" s="499"/>
      <c r="M12" s="499"/>
      <c r="N12" s="499"/>
      <c r="O12" s="499"/>
      <c r="P12" s="499"/>
      <c r="Q12" s="499"/>
    </row>
    <row r="13" spans="1:55" s="282" customFormat="1" ht="27" customHeight="1" x14ac:dyDescent="0.3">
      <c r="A13" s="342">
        <v>43655</v>
      </c>
      <c r="B13" s="343" t="s">
        <v>113</v>
      </c>
      <c r="C13" s="485" t="s">
        <v>121</v>
      </c>
      <c r="D13" s="485"/>
      <c r="E13" s="485"/>
      <c r="F13" s="485"/>
      <c r="G13" s="485"/>
      <c r="H13" s="485"/>
      <c r="I13" s="485"/>
      <c r="J13" s="345" t="s">
        <v>59</v>
      </c>
      <c r="K13" s="429"/>
      <c r="L13" s="429"/>
      <c r="M13" s="429"/>
      <c r="N13" s="429"/>
      <c r="O13" s="429"/>
      <c r="P13" s="429"/>
      <c r="Q13" s="429"/>
    </row>
    <row r="14" spans="1:55" s="282" customFormat="1" ht="27" customHeight="1" x14ac:dyDescent="0.3">
      <c r="A14" s="342">
        <v>43679</v>
      </c>
      <c r="B14" s="343" t="s">
        <v>113</v>
      </c>
      <c r="C14" s="485" t="s">
        <v>122</v>
      </c>
      <c r="D14" s="485"/>
      <c r="E14" s="485"/>
      <c r="F14" s="485"/>
      <c r="G14" s="485"/>
      <c r="H14" s="485"/>
      <c r="I14" s="485"/>
      <c r="J14" s="345" t="s">
        <v>59</v>
      </c>
      <c r="K14" s="429"/>
      <c r="L14" s="429"/>
      <c r="M14" s="429"/>
      <c r="N14" s="429"/>
      <c r="O14" s="429"/>
      <c r="P14" s="429"/>
      <c r="Q14" s="429"/>
    </row>
    <row r="15" spans="1:55" s="282" customFormat="1" ht="27" customHeight="1" x14ac:dyDescent="0.3">
      <c r="A15" s="342">
        <v>43668</v>
      </c>
      <c r="B15" s="343" t="s">
        <v>113</v>
      </c>
      <c r="C15" s="485" t="s">
        <v>123</v>
      </c>
      <c r="D15" s="485"/>
      <c r="E15" s="485"/>
      <c r="F15" s="485"/>
      <c r="G15" s="485"/>
      <c r="H15" s="485"/>
      <c r="I15" s="485"/>
      <c r="J15" s="345" t="s">
        <v>59</v>
      </c>
      <c r="K15" s="429"/>
      <c r="L15" s="429"/>
      <c r="M15" s="429"/>
      <c r="N15" s="429"/>
      <c r="O15" s="429"/>
      <c r="P15" s="429"/>
      <c r="Q15" s="429"/>
    </row>
    <row r="16" spans="1:55" s="282" customFormat="1" ht="27" customHeight="1" x14ac:dyDescent="0.3">
      <c r="A16" s="342">
        <v>43679</v>
      </c>
      <c r="B16" s="343" t="s">
        <v>113</v>
      </c>
      <c r="C16" s="485" t="s">
        <v>124</v>
      </c>
      <c r="D16" s="485"/>
      <c r="E16" s="485"/>
      <c r="F16" s="485"/>
      <c r="G16" s="485"/>
      <c r="H16" s="485"/>
      <c r="I16" s="485"/>
      <c r="J16" s="345" t="s">
        <v>59</v>
      </c>
      <c r="K16" s="429"/>
      <c r="L16" s="429"/>
      <c r="M16" s="429"/>
      <c r="N16" s="429"/>
      <c r="O16" s="429"/>
      <c r="P16" s="429"/>
      <c r="Q16" s="429"/>
    </row>
    <row r="17" spans="1:57" s="282" customFormat="1" ht="27" customHeight="1" x14ac:dyDescent="0.3">
      <c r="A17" s="342">
        <v>43675</v>
      </c>
      <c r="B17" s="343" t="s">
        <v>113</v>
      </c>
      <c r="C17" s="485" t="s">
        <v>125</v>
      </c>
      <c r="D17" s="485"/>
      <c r="E17" s="485"/>
      <c r="F17" s="485"/>
      <c r="G17" s="485"/>
      <c r="H17" s="485"/>
      <c r="I17" s="485"/>
      <c r="J17" s="345" t="s">
        <v>59</v>
      </c>
      <c r="K17" s="429"/>
      <c r="L17" s="429"/>
      <c r="M17" s="429"/>
      <c r="N17" s="429"/>
      <c r="O17" s="429"/>
      <c r="P17" s="429"/>
      <c r="Q17" s="429"/>
    </row>
    <row r="18" spans="1:57" s="282" customFormat="1" ht="27" customHeight="1" x14ac:dyDescent="0.3">
      <c r="A18" s="342">
        <v>43703</v>
      </c>
      <c r="B18" s="343" t="s">
        <v>113</v>
      </c>
      <c r="C18" s="485" t="s">
        <v>126</v>
      </c>
      <c r="D18" s="485"/>
      <c r="E18" s="485"/>
      <c r="F18" s="485"/>
      <c r="G18" s="485"/>
      <c r="H18" s="485"/>
      <c r="I18" s="485"/>
      <c r="J18" s="345" t="s">
        <v>32</v>
      </c>
      <c r="K18" s="498"/>
      <c r="L18" s="498"/>
      <c r="M18" s="498"/>
      <c r="N18" s="498"/>
      <c r="O18" s="498"/>
      <c r="P18" s="498"/>
      <c r="Q18" s="498"/>
    </row>
    <row r="19" spans="1:57" s="282" customFormat="1" ht="27" customHeight="1" x14ac:dyDescent="0.3">
      <c r="A19" s="342">
        <v>43700</v>
      </c>
      <c r="B19" s="343" t="s">
        <v>113</v>
      </c>
      <c r="C19" s="485" t="s">
        <v>127</v>
      </c>
      <c r="D19" s="485"/>
      <c r="E19" s="485"/>
      <c r="F19" s="485"/>
      <c r="G19" s="485"/>
      <c r="H19" s="485"/>
      <c r="I19" s="485"/>
      <c r="J19" s="345" t="s">
        <v>32</v>
      </c>
      <c r="K19" s="389"/>
      <c r="L19" s="389"/>
      <c r="M19" s="389"/>
      <c r="N19" s="389"/>
      <c r="O19" s="389"/>
      <c r="P19" s="389"/>
      <c r="Q19" s="389"/>
    </row>
    <row r="20" spans="1:57" s="282" customFormat="1" ht="27" customHeight="1" x14ac:dyDescent="0.3">
      <c r="A20" s="342">
        <v>43700</v>
      </c>
      <c r="B20" s="343" t="s">
        <v>113</v>
      </c>
      <c r="C20" s="485" t="s">
        <v>128</v>
      </c>
      <c r="D20" s="485"/>
      <c r="E20" s="485"/>
      <c r="F20" s="485"/>
      <c r="G20" s="485"/>
      <c r="H20" s="485"/>
      <c r="I20" s="485"/>
      <c r="J20" s="345" t="s">
        <v>32</v>
      </c>
      <c r="K20" s="429"/>
      <c r="L20" s="429"/>
      <c r="M20" s="429"/>
      <c r="N20" s="429"/>
      <c r="O20" s="429"/>
      <c r="P20" s="429"/>
      <c r="Q20" s="429"/>
    </row>
    <row r="21" spans="1:57" s="282" customFormat="1" ht="27" customHeight="1" x14ac:dyDescent="0.3">
      <c r="A21" s="342">
        <v>43665</v>
      </c>
      <c r="B21" s="343" t="s">
        <v>113</v>
      </c>
      <c r="C21" s="485" t="s">
        <v>129</v>
      </c>
      <c r="D21" s="485"/>
      <c r="E21" s="485"/>
      <c r="F21" s="485"/>
      <c r="G21" s="485"/>
      <c r="H21" s="485"/>
      <c r="I21" s="485"/>
      <c r="J21" s="345" t="s">
        <v>59</v>
      </c>
      <c r="K21" s="498" t="s">
        <v>130</v>
      </c>
      <c r="L21" s="498"/>
      <c r="M21" s="498"/>
      <c r="N21" s="498"/>
      <c r="O21" s="498"/>
      <c r="P21" s="498"/>
      <c r="Q21" s="498"/>
    </row>
    <row r="22" spans="1:57" s="282" customFormat="1" ht="27" customHeight="1" x14ac:dyDescent="0.3">
      <c r="A22" s="342">
        <v>43672</v>
      </c>
      <c r="B22" s="343" t="s">
        <v>113</v>
      </c>
      <c r="C22" s="485" t="s">
        <v>131</v>
      </c>
      <c r="D22" s="485"/>
      <c r="E22" s="485"/>
      <c r="F22" s="485"/>
      <c r="G22" s="485"/>
      <c r="H22" s="485"/>
      <c r="I22" s="485"/>
      <c r="J22" s="345" t="s">
        <v>59</v>
      </c>
      <c r="K22" s="498"/>
      <c r="L22" s="498"/>
      <c r="M22" s="498"/>
      <c r="N22" s="498"/>
      <c r="O22" s="498"/>
      <c r="P22" s="498"/>
      <c r="Q22" s="498"/>
    </row>
    <row r="23" spans="1:57" s="282" customFormat="1" ht="27" customHeight="1" x14ac:dyDescent="0.3">
      <c r="A23" s="342">
        <v>43669</v>
      </c>
      <c r="B23" s="343" t="s">
        <v>113</v>
      </c>
      <c r="C23" s="485" t="s">
        <v>132</v>
      </c>
      <c r="D23" s="485"/>
      <c r="E23" s="485"/>
      <c r="F23" s="485"/>
      <c r="G23" s="485"/>
      <c r="H23" s="485"/>
      <c r="I23" s="485"/>
      <c r="J23" s="345" t="s">
        <v>32</v>
      </c>
      <c r="K23" s="498"/>
      <c r="L23" s="498"/>
      <c r="M23" s="498"/>
      <c r="N23" s="498"/>
      <c r="O23" s="498"/>
      <c r="P23" s="498"/>
      <c r="Q23" s="498"/>
    </row>
    <row r="24" spans="1:57" s="282" customFormat="1" ht="27" customHeight="1" x14ac:dyDescent="0.3">
      <c r="A24" s="342">
        <v>43738</v>
      </c>
      <c r="B24" s="343" t="s">
        <v>113</v>
      </c>
      <c r="C24" s="485" t="s">
        <v>133</v>
      </c>
      <c r="D24" s="485"/>
      <c r="E24" s="485"/>
      <c r="F24" s="485"/>
      <c r="G24" s="485"/>
      <c r="H24" s="485"/>
      <c r="I24" s="485"/>
      <c r="J24" s="345" t="s">
        <v>32</v>
      </c>
      <c r="K24" s="498"/>
      <c r="L24" s="498"/>
      <c r="M24" s="498"/>
      <c r="N24" s="498"/>
      <c r="O24" s="498"/>
      <c r="P24" s="498"/>
      <c r="Q24" s="498"/>
    </row>
    <row r="25" spans="1:57" s="282" customFormat="1" ht="27" customHeight="1" thickBot="1" x14ac:dyDescent="0.35">
      <c r="A25" s="348">
        <v>43738</v>
      </c>
      <c r="B25" s="349" t="s">
        <v>113</v>
      </c>
      <c r="C25" s="480" t="s">
        <v>134</v>
      </c>
      <c r="D25" s="480"/>
      <c r="E25" s="480"/>
      <c r="F25" s="480"/>
      <c r="G25" s="480"/>
      <c r="H25" s="480"/>
      <c r="I25" s="480"/>
      <c r="J25" s="350" t="s">
        <v>32</v>
      </c>
      <c r="K25" s="500"/>
      <c r="L25" s="500"/>
      <c r="M25" s="500"/>
      <c r="N25" s="500"/>
      <c r="O25" s="500"/>
      <c r="P25" s="500"/>
      <c r="Q25" s="500"/>
    </row>
    <row r="26" spans="1:57" s="282" customFormat="1" x14ac:dyDescent="0.3"/>
    <row r="27" spans="1:57" s="282" customFormat="1" x14ac:dyDescent="0.3"/>
    <row r="28" spans="1:57" ht="16.2" thickBot="1" x14ac:dyDescent="0.35">
      <c r="A28" s="450" t="s">
        <v>42</v>
      </c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  <c r="Q28" s="450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  <c r="AO28" s="282"/>
      <c r="AP28" s="282"/>
      <c r="AQ28" s="282"/>
      <c r="AR28" s="282"/>
      <c r="AS28" s="282"/>
      <c r="AT28" s="282"/>
      <c r="AU28" s="282"/>
      <c r="AV28" s="282"/>
      <c r="AW28" s="282"/>
      <c r="AX28" s="282"/>
      <c r="AY28" s="282"/>
      <c r="AZ28" s="282"/>
      <c r="BA28" s="282"/>
      <c r="BB28" s="282"/>
      <c r="BC28" s="282"/>
      <c r="BD28" s="282"/>
      <c r="BE28" s="282"/>
    </row>
    <row r="29" spans="1:57" ht="14.4" customHeight="1" x14ac:dyDescent="0.3">
      <c r="A29" s="336" t="s">
        <v>43</v>
      </c>
      <c r="B29" s="337" t="s">
        <v>27</v>
      </c>
      <c r="C29" s="452" t="s">
        <v>28</v>
      </c>
      <c r="D29" s="452"/>
      <c r="E29" s="452"/>
      <c r="F29" s="452"/>
      <c r="G29" s="452"/>
      <c r="H29" s="452"/>
      <c r="I29" s="452"/>
      <c r="J29" s="338" t="s">
        <v>29</v>
      </c>
      <c r="K29" s="452" t="s">
        <v>30</v>
      </c>
      <c r="L29" s="452"/>
      <c r="M29" s="452"/>
      <c r="N29" s="452"/>
      <c r="O29" s="452"/>
      <c r="P29" s="452"/>
      <c r="Q29" s="453"/>
      <c r="R29" s="282"/>
      <c r="S29" s="282"/>
      <c r="T29" s="282"/>
      <c r="U29" s="282"/>
      <c r="V29" s="282"/>
      <c r="W29" s="282"/>
      <c r="X29" s="282"/>
      <c r="Y29" s="282"/>
      <c r="Z29" s="282"/>
      <c r="AA29" s="282"/>
      <c r="AB29" s="282"/>
      <c r="AC29" s="282"/>
      <c r="AD29" s="282"/>
      <c r="AE29" s="282"/>
      <c r="AF29" s="282"/>
      <c r="AG29" s="282"/>
      <c r="AH29" s="282"/>
      <c r="AI29" s="282"/>
      <c r="AJ29" s="282"/>
      <c r="AK29" s="282"/>
      <c r="AL29" s="282"/>
      <c r="AM29" s="282"/>
      <c r="AN29" s="282"/>
      <c r="AO29" s="282"/>
      <c r="AP29" s="282"/>
      <c r="AQ29" s="282"/>
      <c r="AR29" s="282"/>
      <c r="AS29" s="282"/>
      <c r="AT29" s="282"/>
      <c r="AU29" s="282"/>
      <c r="AV29" s="282"/>
      <c r="AW29" s="282"/>
      <c r="AX29" s="282"/>
      <c r="AY29" s="282"/>
      <c r="AZ29" s="282"/>
      <c r="BA29" s="282"/>
      <c r="BB29" s="282"/>
      <c r="BC29" s="282"/>
      <c r="BD29" s="282"/>
      <c r="BE29" s="282"/>
    </row>
    <row r="30" spans="1:57" s="282" customFormat="1" x14ac:dyDescent="0.3">
      <c r="A30" s="476">
        <v>43696</v>
      </c>
      <c r="B30" s="340"/>
      <c r="C30" s="475"/>
      <c r="D30" s="475"/>
      <c r="E30" s="475"/>
      <c r="F30" s="475"/>
      <c r="G30" s="475"/>
      <c r="H30" s="475"/>
      <c r="I30" s="475"/>
      <c r="J30" s="308"/>
      <c r="K30" s="308"/>
      <c r="L30" s="308"/>
      <c r="M30" s="308"/>
      <c r="N30" s="308"/>
      <c r="O30" s="308"/>
      <c r="P30" s="308"/>
      <c r="Q30" s="308"/>
    </row>
    <row r="31" spans="1:57" s="282" customFormat="1" x14ac:dyDescent="0.3">
      <c r="A31" s="477"/>
      <c r="B31" s="343"/>
      <c r="C31" s="479"/>
      <c r="D31" s="479"/>
      <c r="E31" s="479"/>
      <c r="F31" s="479"/>
      <c r="G31" s="479"/>
      <c r="H31" s="479"/>
      <c r="I31" s="479"/>
      <c r="J31" s="309"/>
      <c r="K31" s="309"/>
      <c r="L31" s="309"/>
      <c r="M31" s="309"/>
      <c r="N31" s="309"/>
      <c r="O31" s="309"/>
      <c r="P31" s="309"/>
      <c r="Q31" s="309"/>
    </row>
    <row r="32" spans="1:57" s="282" customFormat="1" x14ac:dyDescent="0.3">
      <c r="A32" s="477"/>
      <c r="B32" s="343"/>
      <c r="C32" s="479"/>
      <c r="D32" s="479"/>
      <c r="E32" s="479"/>
      <c r="F32" s="479"/>
      <c r="G32" s="479"/>
      <c r="H32" s="479"/>
      <c r="I32" s="479"/>
      <c r="J32" s="309"/>
      <c r="K32" s="309"/>
      <c r="L32" s="309"/>
      <c r="M32" s="309"/>
      <c r="N32" s="309"/>
      <c r="O32" s="309"/>
      <c r="P32" s="309"/>
      <c r="Q32" s="309"/>
    </row>
    <row r="33" spans="1:17" s="282" customFormat="1" x14ac:dyDescent="0.3">
      <c r="A33" s="477"/>
      <c r="B33" s="343"/>
      <c r="C33" s="393"/>
      <c r="D33" s="393"/>
      <c r="E33" s="393"/>
      <c r="F33" s="393"/>
      <c r="G33" s="393"/>
      <c r="H33" s="393"/>
      <c r="I33" s="393"/>
      <c r="J33" s="309"/>
      <c r="K33" s="309"/>
      <c r="L33" s="309"/>
      <c r="M33" s="309"/>
      <c r="N33" s="309"/>
      <c r="O33" s="309"/>
      <c r="P33" s="309"/>
      <c r="Q33" s="309"/>
    </row>
    <row r="34" spans="1:17" s="282" customFormat="1" x14ac:dyDescent="0.3">
      <c r="A34" s="477"/>
      <c r="B34" s="343"/>
      <c r="C34" s="393"/>
      <c r="D34" s="393"/>
      <c r="E34" s="393"/>
      <c r="F34" s="393"/>
      <c r="G34" s="393"/>
      <c r="H34" s="393"/>
      <c r="I34" s="393"/>
      <c r="J34" s="309"/>
      <c r="K34" s="309"/>
      <c r="L34" s="309"/>
      <c r="M34" s="309"/>
      <c r="N34" s="309"/>
      <c r="O34" s="309"/>
      <c r="P34" s="309"/>
      <c r="Q34" s="309"/>
    </row>
    <row r="35" spans="1:17" s="282" customFormat="1" x14ac:dyDescent="0.3">
      <c r="A35" s="477"/>
      <c r="B35" s="343"/>
      <c r="C35" s="393"/>
      <c r="D35" s="393"/>
      <c r="E35" s="393"/>
      <c r="F35" s="393"/>
      <c r="G35" s="393"/>
      <c r="H35" s="393"/>
      <c r="I35" s="393"/>
      <c r="J35" s="309"/>
      <c r="K35" s="309"/>
      <c r="L35" s="309"/>
      <c r="M35" s="309"/>
      <c r="N35" s="309"/>
      <c r="O35" s="309"/>
      <c r="P35" s="309"/>
      <c r="Q35" s="309"/>
    </row>
    <row r="36" spans="1:17" s="282" customFormat="1" x14ac:dyDescent="0.3">
      <c r="A36" s="477"/>
      <c r="B36" s="343"/>
      <c r="C36" s="393"/>
      <c r="D36" s="393"/>
      <c r="E36" s="393"/>
      <c r="F36" s="393"/>
      <c r="G36" s="393"/>
      <c r="H36" s="393"/>
      <c r="I36" s="393"/>
      <c r="J36" s="309"/>
      <c r="K36" s="309"/>
      <c r="L36" s="309"/>
      <c r="M36" s="309"/>
      <c r="N36" s="309"/>
      <c r="O36" s="309"/>
      <c r="P36" s="309"/>
      <c r="Q36" s="309"/>
    </row>
    <row r="37" spans="1:17" s="282" customFormat="1" x14ac:dyDescent="0.3">
      <c r="A37" s="477"/>
      <c r="B37" s="343"/>
      <c r="C37" s="393"/>
      <c r="D37" s="393"/>
      <c r="E37" s="393"/>
      <c r="F37" s="393"/>
      <c r="G37" s="393"/>
      <c r="H37" s="393"/>
      <c r="I37" s="393"/>
      <c r="J37" s="309"/>
      <c r="K37" s="309"/>
      <c r="L37" s="309"/>
      <c r="M37" s="309"/>
      <c r="N37" s="309"/>
      <c r="O37" s="309"/>
      <c r="P37" s="309"/>
      <c r="Q37" s="309"/>
    </row>
    <row r="38" spans="1:17" s="282" customFormat="1" x14ac:dyDescent="0.3">
      <c r="A38" s="477"/>
      <c r="B38" s="343"/>
      <c r="C38" s="393"/>
      <c r="D38" s="393"/>
      <c r="E38" s="393"/>
      <c r="F38" s="393"/>
      <c r="G38" s="393"/>
      <c r="H38" s="393"/>
      <c r="I38" s="393"/>
      <c r="J38" s="309"/>
      <c r="K38" s="309"/>
      <c r="L38" s="309"/>
      <c r="M38" s="309"/>
      <c r="N38" s="309"/>
      <c r="O38" s="309"/>
      <c r="P38" s="309"/>
      <c r="Q38" s="309"/>
    </row>
    <row r="39" spans="1:17" s="282" customFormat="1" x14ac:dyDescent="0.3">
      <c r="A39" s="477"/>
      <c r="B39" s="343"/>
      <c r="C39" s="393"/>
      <c r="D39" s="393"/>
      <c r="E39" s="393"/>
      <c r="F39" s="393"/>
      <c r="G39" s="393"/>
      <c r="H39" s="393"/>
      <c r="I39" s="393"/>
      <c r="J39" s="309"/>
      <c r="K39" s="309"/>
      <c r="L39" s="309"/>
      <c r="M39" s="309"/>
      <c r="N39" s="309"/>
      <c r="O39" s="309"/>
      <c r="P39" s="309"/>
      <c r="Q39" s="309"/>
    </row>
    <row r="40" spans="1:17" s="282" customFormat="1" x14ac:dyDescent="0.3">
      <c r="A40" s="477"/>
      <c r="B40" s="343"/>
      <c r="C40" s="393"/>
      <c r="D40" s="393"/>
      <c r="E40" s="393"/>
      <c r="F40" s="393"/>
      <c r="G40" s="393"/>
      <c r="H40" s="393"/>
      <c r="I40" s="393"/>
      <c r="J40" s="309"/>
      <c r="K40" s="309"/>
      <c r="L40" s="309"/>
      <c r="M40" s="309"/>
      <c r="N40" s="309"/>
      <c r="O40" s="309"/>
      <c r="P40" s="309"/>
      <c r="Q40" s="309"/>
    </row>
    <row r="41" spans="1:17" s="282" customFormat="1" x14ac:dyDescent="0.3">
      <c r="A41" s="477"/>
      <c r="B41" s="343"/>
      <c r="C41" s="393"/>
      <c r="D41" s="393"/>
      <c r="E41" s="393"/>
      <c r="F41" s="393"/>
      <c r="G41" s="393"/>
      <c r="H41" s="393"/>
      <c r="I41" s="393"/>
      <c r="J41" s="309"/>
      <c r="K41" s="309"/>
      <c r="L41" s="309"/>
      <c r="M41" s="309"/>
      <c r="N41" s="309"/>
      <c r="O41" s="309"/>
      <c r="P41" s="309"/>
      <c r="Q41" s="309"/>
    </row>
    <row r="42" spans="1:17" s="282" customFormat="1" x14ac:dyDescent="0.3">
      <c r="A42" s="477"/>
      <c r="B42" s="343"/>
      <c r="C42" s="479"/>
      <c r="D42" s="479"/>
      <c r="E42" s="479"/>
      <c r="F42" s="479"/>
      <c r="G42" s="479"/>
      <c r="H42" s="479"/>
      <c r="I42" s="479"/>
      <c r="J42" s="309"/>
      <c r="K42" s="309"/>
      <c r="L42" s="309"/>
      <c r="M42" s="309"/>
      <c r="N42" s="309"/>
      <c r="O42" s="309"/>
      <c r="P42" s="309"/>
      <c r="Q42" s="309"/>
    </row>
    <row r="43" spans="1:17" s="282" customFormat="1" ht="15" thickBot="1" x14ac:dyDescent="0.35">
      <c r="A43" s="478"/>
      <c r="B43" s="349"/>
      <c r="C43" s="474"/>
      <c r="D43" s="474"/>
      <c r="E43" s="474"/>
      <c r="F43" s="474"/>
      <c r="G43" s="474"/>
      <c r="H43" s="474"/>
      <c r="I43" s="474"/>
      <c r="J43" s="310"/>
      <c r="K43" s="310"/>
      <c r="L43" s="310"/>
      <c r="M43" s="310"/>
      <c r="N43" s="310"/>
      <c r="O43" s="310"/>
      <c r="P43" s="310"/>
      <c r="Q43" s="310"/>
    </row>
    <row r="44" spans="1:17" s="282" customFormat="1" ht="27" customHeight="1" x14ac:dyDescent="0.3">
      <c r="A44" s="493">
        <v>43689</v>
      </c>
      <c r="B44" s="340" t="s">
        <v>113</v>
      </c>
      <c r="C44" s="475" t="s">
        <v>135</v>
      </c>
      <c r="D44" s="475"/>
      <c r="E44" s="475"/>
      <c r="F44" s="475"/>
      <c r="G44" s="475"/>
      <c r="H44" s="475"/>
      <c r="I44" s="475"/>
      <c r="J44" s="308"/>
      <c r="K44" s="308"/>
      <c r="L44" s="308"/>
      <c r="M44" s="308"/>
      <c r="N44" s="308"/>
      <c r="O44" s="308"/>
      <c r="P44" s="308"/>
      <c r="Q44" s="308"/>
    </row>
    <row r="45" spans="1:17" s="282" customFormat="1" ht="27" customHeight="1" x14ac:dyDescent="0.3">
      <c r="A45" s="501"/>
      <c r="B45" s="343" t="s">
        <v>113</v>
      </c>
      <c r="C45" s="479" t="s">
        <v>136</v>
      </c>
      <c r="D45" s="479"/>
      <c r="E45" s="479"/>
      <c r="F45" s="479"/>
      <c r="G45" s="479"/>
      <c r="H45" s="479"/>
      <c r="I45" s="479"/>
      <c r="J45" s="309"/>
      <c r="K45" s="309"/>
      <c r="L45" s="309"/>
      <c r="M45" s="309"/>
      <c r="N45" s="309"/>
      <c r="O45" s="309"/>
      <c r="P45" s="309"/>
      <c r="Q45" s="309"/>
    </row>
    <row r="46" spans="1:17" s="282" customFormat="1" ht="27" customHeight="1" x14ac:dyDescent="0.3">
      <c r="A46" s="501"/>
      <c r="B46" s="343" t="s">
        <v>113</v>
      </c>
      <c r="C46" s="479" t="s">
        <v>137</v>
      </c>
      <c r="D46" s="479"/>
      <c r="E46" s="479"/>
      <c r="F46" s="479"/>
      <c r="G46" s="479"/>
      <c r="H46" s="479"/>
      <c r="I46" s="479"/>
      <c r="J46" s="309"/>
      <c r="K46" s="309"/>
      <c r="L46" s="309"/>
      <c r="M46" s="309"/>
      <c r="N46" s="309"/>
      <c r="O46" s="309"/>
      <c r="P46" s="309"/>
      <c r="Q46" s="309"/>
    </row>
    <row r="47" spans="1:17" s="283" customFormat="1" ht="27" customHeight="1" x14ac:dyDescent="0.3">
      <c r="A47" s="501"/>
      <c r="B47" s="343" t="s">
        <v>113</v>
      </c>
      <c r="C47" s="479" t="s">
        <v>138</v>
      </c>
      <c r="D47" s="479"/>
      <c r="E47" s="479"/>
      <c r="F47" s="479"/>
      <c r="G47" s="479"/>
      <c r="H47" s="479"/>
      <c r="I47" s="479"/>
      <c r="J47" s="309"/>
      <c r="K47" s="309"/>
      <c r="L47" s="309"/>
      <c r="M47" s="309"/>
      <c r="N47" s="309"/>
      <c r="O47" s="309"/>
      <c r="P47" s="309"/>
      <c r="Q47" s="309"/>
    </row>
    <row r="48" spans="1:17" s="282" customFormat="1" ht="27" customHeight="1" x14ac:dyDescent="0.3">
      <c r="A48" s="501"/>
      <c r="B48" s="343" t="s">
        <v>113</v>
      </c>
      <c r="C48" s="479" t="s">
        <v>139</v>
      </c>
      <c r="D48" s="479"/>
      <c r="E48" s="479"/>
      <c r="F48" s="479"/>
      <c r="G48" s="479"/>
      <c r="H48" s="479"/>
      <c r="I48" s="479"/>
      <c r="J48" s="309"/>
      <c r="K48" s="309"/>
      <c r="L48" s="309"/>
      <c r="M48" s="309"/>
      <c r="N48" s="309"/>
      <c r="O48" s="309"/>
      <c r="P48" s="309"/>
      <c r="Q48" s="309"/>
    </row>
    <row r="49" spans="1:57" s="282" customFormat="1" ht="27" customHeight="1" x14ac:dyDescent="0.3">
      <c r="A49" s="501"/>
      <c r="B49" s="343" t="s">
        <v>113</v>
      </c>
      <c r="C49" s="479" t="s">
        <v>140</v>
      </c>
      <c r="D49" s="479"/>
      <c r="E49" s="479"/>
      <c r="F49" s="479"/>
      <c r="G49" s="479"/>
      <c r="H49" s="479"/>
      <c r="I49" s="479"/>
      <c r="J49" s="309"/>
      <c r="K49" s="309"/>
      <c r="L49" s="309"/>
      <c r="M49" s="309"/>
      <c r="N49" s="309"/>
      <c r="O49" s="309"/>
      <c r="P49" s="309"/>
      <c r="Q49" s="309"/>
    </row>
    <row r="50" spans="1:57" s="282" customFormat="1" ht="27" customHeight="1" x14ac:dyDescent="0.3">
      <c r="A50" s="501"/>
      <c r="B50" s="343" t="s">
        <v>113</v>
      </c>
      <c r="C50" s="479" t="s">
        <v>141</v>
      </c>
      <c r="D50" s="479"/>
      <c r="E50" s="479"/>
      <c r="F50" s="479"/>
      <c r="G50" s="479"/>
      <c r="H50" s="479"/>
      <c r="I50" s="479"/>
      <c r="J50" s="309"/>
      <c r="K50" s="309"/>
      <c r="L50" s="309"/>
      <c r="M50" s="309"/>
      <c r="N50" s="309"/>
      <c r="O50" s="309"/>
      <c r="P50" s="309"/>
      <c r="Q50" s="309"/>
    </row>
    <row r="51" spans="1:57" s="282" customFormat="1" ht="27" customHeight="1" x14ac:dyDescent="0.3">
      <c r="A51" s="501"/>
      <c r="B51" s="343" t="s">
        <v>113</v>
      </c>
      <c r="C51" s="479" t="s">
        <v>142</v>
      </c>
      <c r="D51" s="479"/>
      <c r="E51" s="479"/>
      <c r="F51" s="479"/>
      <c r="G51" s="479"/>
      <c r="H51" s="479"/>
      <c r="I51" s="479"/>
      <c r="J51" s="309"/>
      <c r="K51" s="309"/>
      <c r="L51" s="309"/>
      <c r="M51" s="309"/>
      <c r="N51" s="309"/>
      <c r="O51" s="309"/>
      <c r="P51" s="309"/>
      <c r="Q51" s="309"/>
    </row>
    <row r="52" spans="1:57" s="282" customFormat="1" ht="27" customHeight="1" x14ac:dyDescent="0.3">
      <c r="A52" s="501"/>
      <c r="B52" s="343" t="s">
        <v>113</v>
      </c>
      <c r="C52" s="479" t="s">
        <v>143</v>
      </c>
      <c r="D52" s="479"/>
      <c r="E52" s="479"/>
      <c r="F52" s="479"/>
      <c r="G52" s="479"/>
      <c r="H52" s="479"/>
      <c r="I52" s="479"/>
      <c r="J52" s="309"/>
      <c r="K52" s="309"/>
      <c r="L52" s="309"/>
      <c r="M52" s="309"/>
      <c r="N52" s="309"/>
      <c r="O52" s="309"/>
      <c r="P52" s="309"/>
      <c r="Q52" s="309"/>
    </row>
    <row r="53" spans="1:57" s="282" customFormat="1" ht="27" customHeight="1" x14ac:dyDescent="0.3">
      <c r="A53" s="501"/>
      <c r="B53" s="343" t="s">
        <v>113</v>
      </c>
      <c r="C53" s="479" t="s">
        <v>144</v>
      </c>
      <c r="D53" s="479"/>
      <c r="E53" s="479"/>
      <c r="F53" s="479"/>
      <c r="G53" s="479"/>
      <c r="H53" s="479"/>
      <c r="I53" s="479"/>
      <c r="J53" s="309"/>
      <c r="K53" s="309"/>
      <c r="L53" s="309"/>
      <c r="M53" s="309"/>
      <c r="N53" s="309"/>
      <c r="O53" s="309"/>
      <c r="P53" s="309"/>
      <c r="Q53" s="309"/>
    </row>
    <row r="54" spans="1:57" s="282" customFormat="1" ht="27" customHeight="1" x14ac:dyDescent="0.3">
      <c r="A54" s="501"/>
      <c r="B54" s="343" t="s">
        <v>113</v>
      </c>
      <c r="C54" s="479" t="s">
        <v>145</v>
      </c>
      <c r="D54" s="479"/>
      <c r="E54" s="479"/>
      <c r="F54" s="479"/>
      <c r="G54" s="479"/>
      <c r="H54" s="479"/>
      <c r="I54" s="479"/>
      <c r="J54" s="347"/>
      <c r="K54" s="347"/>
      <c r="L54" s="347"/>
      <c r="M54" s="347"/>
      <c r="N54" s="347"/>
      <c r="O54" s="347"/>
      <c r="P54" s="347"/>
      <c r="Q54" s="347"/>
    </row>
    <row r="55" spans="1:57" ht="27" customHeight="1" thickBot="1" x14ac:dyDescent="0.35">
      <c r="A55" s="502"/>
      <c r="B55" s="349" t="s">
        <v>23</v>
      </c>
      <c r="C55" s="431" t="s">
        <v>92</v>
      </c>
      <c r="D55" s="431"/>
      <c r="E55" s="431"/>
      <c r="F55" s="431"/>
      <c r="G55" s="431"/>
      <c r="H55" s="431"/>
      <c r="I55" s="431"/>
      <c r="J55" s="358" t="s">
        <v>62</v>
      </c>
      <c r="K55" s="432"/>
      <c r="L55" s="432"/>
      <c r="M55" s="432"/>
      <c r="N55" s="432"/>
      <c r="O55" s="432"/>
      <c r="P55" s="432"/>
      <c r="Q55" s="432"/>
      <c r="R55" s="282"/>
      <c r="S55" s="282"/>
      <c r="T55" s="282"/>
      <c r="U55" s="282"/>
      <c r="V55" s="282"/>
      <c r="W55" s="282"/>
      <c r="X55" s="282"/>
      <c r="Y55" s="282"/>
      <c r="Z55" s="282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82"/>
      <c r="AQ55" s="282"/>
      <c r="AR55" s="282"/>
      <c r="AS55" s="282"/>
      <c r="AT55" s="282"/>
      <c r="AU55" s="282"/>
      <c r="AV55" s="282"/>
      <c r="AW55" s="282"/>
      <c r="AX55" s="282"/>
      <c r="AY55" s="282"/>
      <c r="AZ55" s="282"/>
      <c r="BA55" s="282"/>
      <c r="BB55" s="282"/>
      <c r="BC55" s="282"/>
      <c r="BD55" s="282"/>
      <c r="BE55" s="282"/>
    </row>
    <row r="56" spans="1:57" s="282" customFormat="1" x14ac:dyDescent="0.3">
      <c r="C56" s="470"/>
      <c r="D56" s="470"/>
      <c r="E56" s="470"/>
      <c r="F56" s="470"/>
      <c r="G56" s="470"/>
      <c r="H56" s="470"/>
      <c r="I56" s="470"/>
    </row>
    <row r="57" spans="1:57" s="282" customFormat="1" x14ac:dyDescent="0.3">
      <c r="C57" s="470"/>
      <c r="D57" s="470"/>
      <c r="E57" s="470"/>
      <c r="F57" s="470"/>
      <c r="G57" s="470"/>
      <c r="H57" s="470"/>
      <c r="I57" s="470"/>
    </row>
    <row r="58" spans="1:57" s="282" customFormat="1" x14ac:dyDescent="0.3">
      <c r="C58" s="470"/>
      <c r="D58" s="470"/>
      <c r="E58" s="470"/>
      <c r="F58" s="470"/>
      <c r="G58" s="470"/>
      <c r="H58" s="470"/>
      <c r="I58" s="470"/>
    </row>
    <row r="59" spans="1:57" s="282" customFormat="1" x14ac:dyDescent="0.3">
      <c r="C59" s="470"/>
      <c r="D59" s="470"/>
      <c r="E59" s="470"/>
      <c r="F59" s="470"/>
      <c r="G59" s="470"/>
      <c r="H59" s="470"/>
      <c r="I59" s="470"/>
    </row>
    <row r="60" spans="1:57" s="282" customFormat="1" x14ac:dyDescent="0.3">
      <c r="C60" s="470"/>
      <c r="D60" s="470"/>
      <c r="E60" s="470"/>
      <c r="F60" s="470"/>
      <c r="G60" s="470"/>
      <c r="H60" s="470"/>
      <c r="I60" s="470"/>
    </row>
    <row r="61" spans="1:57" s="282" customFormat="1" x14ac:dyDescent="0.3"/>
    <row r="62" spans="1:57" s="282" customFormat="1" x14ac:dyDescent="0.3"/>
  </sheetData>
  <mergeCells count="65">
    <mergeCell ref="K55:Q55"/>
    <mergeCell ref="A44:A55"/>
    <mergeCell ref="C13:I13"/>
    <mergeCell ref="K13:Q13"/>
    <mergeCell ref="A1:B2"/>
    <mergeCell ref="C1:C2"/>
    <mergeCell ref="E1:G1"/>
    <mergeCell ref="H1:J1"/>
    <mergeCell ref="K1:M1"/>
    <mergeCell ref="N1:P1"/>
    <mergeCell ref="A3:B7"/>
    <mergeCell ref="A10:Q10"/>
    <mergeCell ref="C11:I11"/>
    <mergeCell ref="K11:Q11"/>
    <mergeCell ref="C12:I12"/>
    <mergeCell ref="C14:I14"/>
    <mergeCell ref="K14:Q14"/>
    <mergeCell ref="C15:I15"/>
    <mergeCell ref="K15:Q15"/>
    <mergeCell ref="C16:I16"/>
    <mergeCell ref="K16:Q16"/>
    <mergeCell ref="C25:I25"/>
    <mergeCell ref="C17:I17"/>
    <mergeCell ref="K17:Q17"/>
    <mergeCell ref="C18:I18"/>
    <mergeCell ref="K18:Q18"/>
    <mergeCell ref="C19:I19"/>
    <mergeCell ref="C20:I20"/>
    <mergeCell ref="K20:Q20"/>
    <mergeCell ref="C21:I21"/>
    <mergeCell ref="C22:I22"/>
    <mergeCell ref="K22:Q22"/>
    <mergeCell ref="C23:I23"/>
    <mergeCell ref="C24:I24"/>
    <mergeCell ref="A28:Q28"/>
    <mergeCell ref="C29:I29"/>
    <mergeCell ref="K29:Q29"/>
    <mergeCell ref="A30:A43"/>
    <mergeCell ref="C30:I30"/>
    <mergeCell ref="C31:I31"/>
    <mergeCell ref="C32:I32"/>
    <mergeCell ref="C42:I42"/>
    <mergeCell ref="C60:I60"/>
    <mergeCell ref="K12:Q12"/>
    <mergeCell ref="K21:Q21"/>
    <mergeCell ref="K23:Q23"/>
    <mergeCell ref="K24:Q24"/>
    <mergeCell ref="K25:Q25"/>
    <mergeCell ref="C46:I46"/>
    <mergeCell ref="C52:I52"/>
    <mergeCell ref="C53:I53"/>
    <mergeCell ref="C54:I54"/>
    <mergeCell ref="C55:I55"/>
    <mergeCell ref="C56:I56"/>
    <mergeCell ref="C57:I57"/>
    <mergeCell ref="C43:I43"/>
    <mergeCell ref="C44:I44"/>
    <mergeCell ref="C48:I48"/>
    <mergeCell ref="C45:I45"/>
    <mergeCell ref="C47:I47"/>
    <mergeCell ref="C58:I58"/>
    <mergeCell ref="C59:I59"/>
    <mergeCell ref="C49:I49"/>
    <mergeCell ref="C50:I50"/>
    <mergeCell ref="C51:I51"/>
  </mergeCells>
  <conditionalFormatting sqref="J1:J2 J12:J25">
    <cfRule type="containsText" dxfId="51" priority="13" operator="containsText" text="Дополнительно">
      <formula>NOT(ISERROR(SEARCH("Дополнительно",J1)))</formula>
    </cfRule>
    <cfRule type="expression" dxfId="50" priority="14">
      <formula>OR($J1 = "Готово", $J1 ="Не Делаем")</formula>
    </cfRule>
  </conditionalFormatting>
  <conditionalFormatting sqref="J10:J11">
    <cfRule type="expression" dxfId="49" priority="11">
      <formula>$J10 = "Перенос"</formula>
    </cfRule>
    <cfRule type="expression" dxfId="48" priority="12">
      <formula>OR($J10 = "Готово", $J10 ="Не Делаем")</formula>
    </cfRule>
  </conditionalFormatting>
  <conditionalFormatting sqref="J10:J11">
    <cfRule type="containsText" dxfId="47" priority="9" operator="containsText" text="Дополнительно">
      <formula>NOT(ISERROR(SEARCH("Дополнительно",J10)))</formula>
    </cfRule>
    <cfRule type="expression" dxfId="46" priority="10">
      <formula>OR($J10 = "Готово", $J10 ="Не Делаем")</formula>
    </cfRule>
  </conditionalFormatting>
  <conditionalFormatting sqref="J15">
    <cfRule type="expression" dxfId="45" priority="8">
      <formula>OR($J15 = "Готово", $J15 ="Не Делаем")</formula>
    </cfRule>
  </conditionalFormatting>
  <conditionalFormatting sqref="J16:J18">
    <cfRule type="expression" dxfId="44" priority="7">
      <formula>OR($J16 = "Готово", $J16 ="Не Делаем")</formula>
    </cfRule>
  </conditionalFormatting>
  <conditionalFormatting sqref="J28:J29">
    <cfRule type="expression" dxfId="43" priority="5">
      <formula>$J28 = "Перенос"</formula>
    </cfRule>
    <cfRule type="expression" dxfId="42" priority="6">
      <formula>OR($J28 = "Готово", $J28 ="Не Делаем")</formula>
    </cfRule>
  </conditionalFormatting>
  <conditionalFormatting sqref="J28:J29">
    <cfRule type="containsText" dxfId="41" priority="3" operator="containsText" text="Дополнительно">
      <formula>NOT(ISERROR(SEARCH("Дополнительно",J28)))</formula>
    </cfRule>
    <cfRule type="expression" dxfId="40" priority="4">
      <formula>OR($J28 = "Готово", $J28 ="Не Делаем")</formula>
    </cfRule>
  </conditionalFormatting>
  <conditionalFormatting sqref="J55">
    <cfRule type="containsText" dxfId="39" priority="1" operator="containsText" text="Дополнительно">
      <formula>NOT(ISERROR(SEARCH("Дополнительно",J55)))</formula>
    </cfRule>
    <cfRule type="expression" dxfId="38" priority="2">
      <formula>OR($J55 = "Готово", $J55 ="Не Делаем")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C1E7-0A80-44FF-96A2-6B51FDE17AD3}">
  <sheetPr codeName="Лист5"/>
  <dimension ref="A1:BE163"/>
  <sheetViews>
    <sheetView topLeftCell="A19" workbookViewId="0">
      <selection activeCell="C24" sqref="C24:I24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9.33203125" bestFit="1" customWidth="1"/>
    <col min="6" max="6" width="7.109375" customWidth="1"/>
    <col min="7" max="7" width="8.88671875" customWidth="1"/>
    <col min="10" max="10" width="11.44140625" bestFit="1" customWidth="1"/>
  </cols>
  <sheetData>
    <row r="1" spans="1:55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5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5" x14ac:dyDescent="0.3">
      <c r="A3" s="505" t="s">
        <v>146</v>
      </c>
      <c r="B3" s="505"/>
      <c r="C3" s="383" t="s">
        <v>147</v>
      </c>
      <c r="D3" s="384">
        <v>2700</v>
      </c>
      <c r="E3" s="378">
        <v>2700</v>
      </c>
      <c r="F3" s="378"/>
      <c r="G3" s="329">
        <f>F3/E3</f>
        <v>0</v>
      </c>
      <c r="H3" s="378">
        <v>2700</v>
      </c>
      <c r="I3" s="378"/>
      <c r="J3" s="329">
        <f>I3/H3</f>
        <v>0</v>
      </c>
      <c r="K3" s="378">
        <v>2700</v>
      </c>
      <c r="L3" s="378"/>
      <c r="M3" s="329">
        <f>L3/K3</f>
        <v>0</v>
      </c>
      <c r="N3" s="378">
        <v>2700</v>
      </c>
      <c r="O3" s="378"/>
      <c r="P3" s="329">
        <f>O3/N3</f>
        <v>0</v>
      </c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5" x14ac:dyDescent="0.3">
      <c r="A4" s="505"/>
      <c r="B4" s="505"/>
      <c r="C4" s="321" t="s">
        <v>148</v>
      </c>
      <c r="D4" s="385">
        <v>0.73</v>
      </c>
      <c r="E4" s="379">
        <v>0.73</v>
      </c>
      <c r="F4" s="379">
        <v>0.502</v>
      </c>
      <c r="G4" s="329">
        <f t="shared" ref="G4:G6" si="0">F4/E4</f>
        <v>0.68767123287671239</v>
      </c>
      <c r="H4" s="379">
        <v>0.73</v>
      </c>
      <c r="I4" s="387">
        <v>0.49199999999999999</v>
      </c>
      <c r="J4" s="329">
        <f t="shared" ref="J4:J6" si="1">I4/H4</f>
        <v>0.67397260273972603</v>
      </c>
      <c r="K4" s="379">
        <v>0.73</v>
      </c>
      <c r="L4" s="379">
        <v>0.48599999999999999</v>
      </c>
      <c r="M4" s="329">
        <f t="shared" ref="M4:M6" si="2">L4/K4</f>
        <v>0.66575342465753429</v>
      </c>
      <c r="N4" s="379">
        <v>0.73</v>
      </c>
      <c r="O4" s="379">
        <v>0.50700000000000001</v>
      </c>
      <c r="P4" s="329">
        <f t="shared" ref="P4:P6" si="3">O4/N4</f>
        <v>0.69452054794520546</v>
      </c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5" x14ac:dyDescent="0.3">
      <c r="A5" s="505"/>
      <c r="B5" s="505"/>
      <c r="C5" s="321" t="s">
        <v>149</v>
      </c>
      <c r="D5" s="385">
        <v>0.4</v>
      </c>
      <c r="E5" s="379">
        <v>0.4</v>
      </c>
      <c r="F5" s="379">
        <v>0.32</v>
      </c>
      <c r="G5" s="329">
        <f t="shared" si="0"/>
        <v>0.79999999999999993</v>
      </c>
      <c r="H5" s="379">
        <v>0.4</v>
      </c>
      <c r="I5" s="387">
        <v>0.29699999999999999</v>
      </c>
      <c r="J5" s="329">
        <f t="shared" si="1"/>
        <v>0.74249999999999994</v>
      </c>
      <c r="K5" s="379">
        <v>0.4</v>
      </c>
      <c r="L5" s="379">
        <v>0.30199999999999999</v>
      </c>
      <c r="M5" s="329">
        <f t="shared" si="2"/>
        <v>0.75499999999999989</v>
      </c>
      <c r="N5" s="379">
        <v>0.4</v>
      </c>
      <c r="O5" s="379">
        <v>0.28499999999999998</v>
      </c>
      <c r="P5" s="329">
        <f t="shared" si="3"/>
        <v>0.71249999999999991</v>
      </c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</row>
    <row r="6" spans="1:55" x14ac:dyDescent="0.3">
      <c r="A6" s="505"/>
      <c r="B6" s="505"/>
      <c r="C6" s="321" t="s">
        <v>150</v>
      </c>
      <c r="D6" s="386">
        <v>9000</v>
      </c>
      <c r="E6" s="378">
        <v>9000</v>
      </c>
      <c r="F6" s="378"/>
      <c r="G6" s="329">
        <f t="shared" si="0"/>
        <v>0</v>
      </c>
      <c r="H6" s="378">
        <v>9000</v>
      </c>
      <c r="I6" s="378"/>
      <c r="J6" s="329">
        <f t="shared" si="1"/>
        <v>0</v>
      </c>
      <c r="K6" s="378">
        <v>9000</v>
      </c>
      <c r="L6" s="378"/>
      <c r="M6" s="329">
        <f t="shared" si="2"/>
        <v>0</v>
      </c>
      <c r="N6" s="378">
        <v>9000</v>
      </c>
      <c r="O6" s="378"/>
      <c r="P6" s="329">
        <f t="shared" si="3"/>
        <v>0</v>
      </c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2"/>
      <c r="AH6" s="282"/>
      <c r="AI6" s="282"/>
      <c r="AJ6" s="282"/>
      <c r="AK6" s="282"/>
      <c r="AL6" s="282"/>
      <c r="AM6" s="282"/>
      <c r="AN6" s="282"/>
      <c r="AO6" s="282"/>
      <c r="AP6" s="282"/>
      <c r="AQ6" s="282"/>
      <c r="AR6" s="282"/>
      <c r="AS6" s="282"/>
      <c r="AT6" s="282"/>
      <c r="AU6" s="282"/>
      <c r="AV6" s="282"/>
      <c r="AW6" s="282"/>
      <c r="AX6" s="282"/>
      <c r="AY6" s="282"/>
      <c r="AZ6" s="282"/>
      <c r="BA6" s="282"/>
      <c r="BB6" s="282"/>
      <c r="BC6" s="282"/>
    </row>
    <row r="7" spans="1:55" s="282" customFormat="1" x14ac:dyDescent="0.3">
      <c r="A7" s="293"/>
      <c r="B7" s="293"/>
      <c r="C7" s="6"/>
      <c r="D7" s="361"/>
      <c r="E7" s="6"/>
      <c r="F7" s="6"/>
      <c r="G7" s="362"/>
      <c r="H7" s="6"/>
      <c r="I7" s="6"/>
      <c r="J7" s="281"/>
      <c r="K7" s="6"/>
      <c r="L7" s="6"/>
      <c r="M7" s="281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</row>
    <row r="8" spans="1:55" s="282" customFormat="1" x14ac:dyDescent="0.3">
      <c r="A8" s="363"/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</row>
    <row r="9" spans="1:55" s="282" customFormat="1" ht="16.2" thickBot="1" x14ac:dyDescent="0.35">
      <c r="A9" s="451" t="s">
        <v>25</v>
      </c>
      <c r="B9" s="451"/>
      <c r="C9" s="451"/>
      <c r="D9" s="451"/>
      <c r="E9" s="451"/>
      <c r="F9" s="45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</row>
    <row r="10" spans="1:55" s="282" customFormat="1" x14ac:dyDescent="0.3">
      <c r="A10" s="336" t="s">
        <v>26</v>
      </c>
      <c r="B10" s="337" t="s">
        <v>27</v>
      </c>
      <c r="C10" s="452" t="s">
        <v>28</v>
      </c>
      <c r="D10" s="452"/>
      <c r="E10" s="452"/>
      <c r="F10" s="452"/>
      <c r="G10" s="452"/>
      <c r="H10" s="452"/>
      <c r="I10" s="452"/>
      <c r="J10" s="338" t="s">
        <v>29</v>
      </c>
      <c r="K10" s="452" t="s">
        <v>30</v>
      </c>
      <c r="L10" s="452"/>
      <c r="M10" s="452"/>
      <c r="N10" s="452"/>
      <c r="O10" s="452"/>
      <c r="P10" s="452"/>
      <c r="Q10" s="453"/>
    </row>
    <row r="11" spans="1:55" s="282" customFormat="1" ht="27" customHeight="1" x14ac:dyDescent="0.3">
      <c r="A11" s="342">
        <v>43658</v>
      </c>
      <c r="B11" s="343" t="s">
        <v>146</v>
      </c>
      <c r="C11" s="485" t="s">
        <v>151</v>
      </c>
      <c r="D11" s="485"/>
      <c r="E11" s="485"/>
      <c r="F11" s="485"/>
      <c r="G11" s="485"/>
      <c r="H11" s="485"/>
      <c r="I11" s="485"/>
      <c r="J11" s="345" t="s">
        <v>59</v>
      </c>
      <c r="K11" s="499"/>
      <c r="L11" s="499"/>
      <c r="M11" s="499"/>
      <c r="N11" s="499"/>
      <c r="O11" s="499"/>
      <c r="P11" s="499"/>
      <c r="Q11" s="499"/>
    </row>
    <row r="12" spans="1:55" s="282" customFormat="1" ht="27" customHeight="1" x14ac:dyDescent="0.3">
      <c r="A12" s="342">
        <v>43672</v>
      </c>
      <c r="B12" s="343" t="s">
        <v>146</v>
      </c>
      <c r="C12" s="485" t="s">
        <v>152</v>
      </c>
      <c r="D12" s="485"/>
      <c r="E12" s="485"/>
      <c r="F12" s="485"/>
      <c r="G12" s="485"/>
      <c r="H12" s="485"/>
      <c r="I12" s="485"/>
      <c r="J12" s="345" t="s">
        <v>59</v>
      </c>
      <c r="K12" s="429"/>
      <c r="L12" s="429"/>
      <c r="M12" s="429"/>
      <c r="N12" s="429"/>
      <c r="O12" s="429"/>
      <c r="P12" s="429"/>
      <c r="Q12" s="429"/>
    </row>
    <row r="13" spans="1:55" s="282" customFormat="1" ht="27" customHeight="1" x14ac:dyDescent="0.3">
      <c r="A13" s="342">
        <v>43654</v>
      </c>
      <c r="B13" s="343" t="s">
        <v>146</v>
      </c>
      <c r="C13" s="485" t="s">
        <v>153</v>
      </c>
      <c r="D13" s="485"/>
      <c r="E13" s="485"/>
      <c r="F13" s="485"/>
      <c r="G13" s="485"/>
      <c r="H13" s="485"/>
      <c r="I13" s="485"/>
      <c r="J13" s="345" t="s">
        <v>59</v>
      </c>
      <c r="K13" s="429"/>
      <c r="L13" s="429"/>
      <c r="M13" s="429"/>
      <c r="N13" s="429"/>
      <c r="O13" s="429"/>
      <c r="P13" s="429"/>
      <c r="Q13" s="429"/>
    </row>
    <row r="14" spans="1:55" s="282" customFormat="1" ht="27" customHeight="1" x14ac:dyDescent="0.3">
      <c r="A14" s="342">
        <v>43671</v>
      </c>
      <c r="B14" s="343" t="s">
        <v>146</v>
      </c>
      <c r="C14" s="485" t="s">
        <v>154</v>
      </c>
      <c r="D14" s="485"/>
      <c r="E14" s="485"/>
      <c r="F14" s="485"/>
      <c r="G14" s="485"/>
      <c r="H14" s="485"/>
      <c r="I14" s="485"/>
      <c r="J14" s="345" t="s">
        <v>59</v>
      </c>
      <c r="K14" s="429"/>
      <c r="L14" s="429"/>
      <c r="M14" s="429"/>
      <c r="N14" s="429"/>
      <c r="O14" s="429"/>
      <c r="P14" s="429"/>
      <c r="Q14" s="429"/>
    </row>
    <row r="15" spans="1:55" s="282" customFormat="1" ht="27" customHeight="1" x14ac:dyDescent="0.3">
      <c r="A15" s="342">
        <v>43678</v>
      </c>
      <c r="B15" s="343" t="s">
        <v>146</v>
      </c>
      <c r="C15" s="485" t="s">
        <v>155</v>
      </c>
      <c r="D15" s="485"/>
      <c r="E15" s="485"/>
      <c r="F15" s="485"/>
      <c r="G15" s="485"/>
      <c r="H15" s="485"/>
      <c r="I15" s="485"/>
      <c r="J15" s="345" t="s">
        <v>59</v>
      </c>
      <c r="K15" s="429"/>
      <c r="L15" s="429"/>
      <c r="M15" s="429"/>
      <c r="N15" s="429"/>
      <c r="O15" s="429"/>
      <c r="P15" s="429"/>
      <c r="Q15" s="429"/>
    </row>
    <row r="16" spans="1:55" s="282" customFormat="1" ht="27" customHeight="1" x14ac:dyDescent="0.3">
      <c r="A16" s="342">
        <v>43735</v>
      </c>
      <c r="B16" s="343" t="s">
        <v>146</v>
      </c>
      <c r="C16" s="485" t="s">
        <v>156</v>
      </c>
      <c r="D16" s="485"/>
      <c r="E16" s="485"/>
      <c r="F16" s="485"/>
      <c r="G16" s="485"/>
      <c r="H16" s="485"/>
      <c r="I16" s="485"/>
      <c r="J16" s="345" t="s">
        <v>32</v>
      </c>
      <c r="K16" s="429"/>
      <c r="L16" s="429"/>
      <c r="M16" s="429"/>
      <c r="N16" s="429"/>
      <c r="O16" s="429"/>
      <c r="P16" s="429"/>
      <c r="Q16" s="429"/>
    </row>
    <row r="17" spans="1:57" s="282" customFormat="1" ht="27" customHeight="1" thickBot="1" x14ac:dyDescent="0.35">
      <c r="A17" s="348">
        <v>43703</v>
      </c>
      <c r="B17" s="349" t="s">
        <v>146</v>
      </c>
      <c r="C17" s="480" t="s">
        <v>157</v>
      </c>
      <c r="D17" s="480"/>
      <c r="E17" s="480"/>
      <c r="F17" s="480"/>
      <c r="G17" s="480"/>
      <c r="H17" s="480"/>
      <c r="I17" s="480"/>
      <c r="J17" s="350" t="s">
        <v>32</v>
      </c>
      <c r="K17" s="500"/>
      <c r="L17" s="500"/>
      <c r="M17" s="500"/>
      <c r="N17" s="500"/>
      <c r="O17" s="500"/>
      <c r="P17" s="500"/>
      <c r="Q17" s="500"/>
    </row>
    <row r="18" spans="1:57" s="282" customFormat="1" x14ac:dyDescent="0.3"/>
    <row r="19" spans="1:57" s="282" customFormat="1" x14ac:dyDescent="0.3"/>
    <row r="20" spans="1:57" ht="16.2" thickBot="1" x14ac:dyDescent="0.35">
      <c r="A20" s="450" t="s">
        <v>42</v>
      </c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  <c r="Q20" s="450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2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282"/>
      <c r="AS20" s="282"/>
      <c r="AT20" s="282"/>
      <c r="AU20" s="282"/>
      <c r="AV20" s="282"/>
      <c r="AW20" s="282"/>
      <c r="AX20" s="282"/>
      <c r="AY20" s="282"/>
      <c r="AZ20" s="282"/>
      <c r="BA20" s="282"/>
      <c r="BB20" s="282"/>
      <c r="BC20" s="282"/>
      <c r="BD20" s="282"/>
      <c r="BE20" s="282"/>
    </row>
    <row r="21" spans="1:57" ht="14.4" customHeight="1" x14ac:dyDescent="0.3">
      <c r="A21" s="336" t="s">
        <v>43</v>
      </c>
      <c r="B21" s="337" t="s">
        <v>27</v>
      </c>
      <c r="C21" s="452" t="s">
        <v>28</v>
      </c>
      <c r="D21" s="452"/>
      <c r="E21" s="452"/>
      <c r="F21" s="452"/>
      <c r="G21" s="452"/>
      <c r="H21" s="452"/>
      <c r="I21" s="452"/>
      <c r="J21" s="338" t="s">
        <v>29</v>
      </c>
      <c r="K21" s="452" t="s">
        <v>30</v>
      </c>
      <c r="L21" s="452"/>
      <c r="M21" s="452"/>
      <c r="N21" s="452"/>
      <c r="O21" s="452"/>
      <c r="P21" s="452"/>
      <c r="Q21" s="453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2"/>
      <c r="AH21" s="282"/>
      <c r="AI21" s="282"/>
      <c r="AJ21" s="282"/>
      <c r="AK21" s="282"/>
      <c r="AL21" s="282"/>
      <c r="AM21" s="282"/>
      <c r="AN21" s="282"/>
      <c r="AO21" s="282"/>
      <c r="AP21" s="282"/>
      <c r="AQ21" s="282"/>
      <c r="AR21" s="282"/>
      <c r="AS21" s="282"/>
      <c r="AT21" s="282"/>
      <c r="AU21" s="282"/>
      <c r="AV21" s="282"/>
      <c r="AW21" s="282"/>
      <c r="AX21" s="282"/>
      <c r="AY21" s="282"/>
      <c r="AZ21" s="282"/>
      <c r="BA21" s="282"/>
      <c r="BB21" s="282"/>
      <c r="BC21" s="282"/>
      <c r="BD21" s="282"/>
      <c r="BE21" s="282"/>
    </row>
    <row r="22" spans="1:57" s="282" customFormat="1" ht="27" customHeight="1" x14ac:dyDescent="0.3">
      <c r="A22" s="476">
        <v>43696</v>
      </c>
      <c r="B22" s="340" t="s">
        <v>146</v>
      </c>
      <c r="C22" s="475" t="s">
        <v>158</v>
      </c>
      <c r="D22" s="475"/>
      <c r="E22" s="475"/>
      <c r="F22" s="475"/>
      <c r="G22" s="475"/>
      <c r="H22" s="475"/>
      <c r="I22" s="475"/>
      <c r="J22" s="308"/>
      <c r="K22" s="308"/>
      <c r="L22" s="308"/>
      <c r="M22" s="308"/>
      <c r="N22" s="308"/>
      <c r="O22" s="308"/>
      <c r="P22" s="308"/>
      <c r="Q22" s="308"/>
    </row>
    <row r="23" spans="1:57" s="282" customFormat="1" ht="27" customHeight="1" x14ac:dyDescent="0.3">
      <c r="A23" s="477"/>
      <c r="B23" s="343" t="s">
        <v>146</v>
      </c>
      <c r="C23" s="475" t="s">
        <v>159</v>
      </c>
      <c r="D23" s="475"/>
      <c r="E23" s="475"/>
      <c r="F23" s="475"/>
      <c r="G23" s="475"/>
      <c r="H23" s="475"/>
      <c r="I23" s="475"/>
      <c r="J23" s="309"/>
      <c r="K23" s="309"/>
      <c r="L23" s="309"/>
      <c r="M23" s="309"/>
      <c r="N23" s="309"/>
      <c r="O23" s="309"/>
      <c r="P23" s="309"/>
      <c r="Q23" s="309"/>
    </row>
    <row r="24" spans="1:57" s="282" customFormat="1" ht="27" customHeight="1" x14ac:dyDescent="0.3">
      <c r="A24" s="477"/>
      <c r="B24" s="343" t="s">
        <v>146</v>
      </c>
      <c r="C24" s="475" t="s">
        <v>160</v>
      </c>
      <c r="D24" s="475"/>
      <c r="E24" s="475"/>
      <c r="F24" s="475"/>
      <c r="G24" s="475"/>
      <c r="H24" s="475"/>
      <c r="I24" s="475"/>
      <c r="J24" s="309"/>
      <c r="K24" s="309"/>
      <c r="L24" s="309"/>
      <c r="M24" s="309"/>
      <c r="N24" s="309"/>
      <c r="O24" s="309"/>
      <c r="P24" s="309"/>
      <c r="Q24" s="309"/>
    </row>
    <row r="25" spans="1:57" s="282" customFormat="1" ht="27" customHeight="1" x14ac:dyDescent="0.3">
      <c r="A25" s="477"/>
      <c r="B25" s="343" t="s">
        <v>146</v>
      </c>
      <c r="C25" s="475" t="s">
        <v>161</v>
      </c>
      <c r="D25" s="475"/>
      <c r="E25" s="475"/>
      <c r="F25" s="475"/>
      <c r="G25" s="475"/>
      <c r="H25" s="475"/>
      <c r="I25" s="475"/>
      <c r="J25" s="309"/>
      <c r="K25" s="309"/>
      <c r="L25" s="309"/>
      <c r="M25" s="309"/>
      <c r="N25" s="309"/>
      <c r="O25" s="309"/>
      <c r="P25" s="309"/>
      <c r="Q25" s="309"/>
    </row>
    <row r="26" spans="1:57" s="282" customFormat="1" ht="27" customHeight="1" x14ac:dyDescent="0.3">
      <c r="A26" s="477"/>
      <c r="B26" s="343" t="s">
        <v>146</v>
      </c>
      <c r="C26" s="475" t="s">
        <v>162</v>
      </c>
      <c r="D26" s="475"/>
      <c r="E26" s="475"/>
      <c r="F26" s="475"/>
      <c r="G26" s="475"/>
      <c r="H26" s="475"/>
      <c r="I26" s="475"/>
      <c r="J26" s="309"/>
      <c r="K26" s="309"/>
      <c r="L26" s="309"/>
      <c r="M26" s="309"/>
      <c r="N26" s="309"/>
      <c r="O26" s="309"/>
      <c r="P26" s="309"/>
      <c r="Q26" s="309"/>
    </row>
    <row r="27" spans="1:57" s="282" customFormat="1" ht="27" customHeight="1" x14ac:dyDescent="0.3">
      <c r="A27" s="477"/>
      <c r="B27" s="343" t="s">
        <v>146</v>
      </c>
      <c r="C27" s="475" t="s">
        <v>163</v>
      </c>
      <c r="D27" s="475"/>
      <c r="E27" s="475"/>
      <c r="F27" s="475"/>
      <c r="G27" s="475"/>
      <c r="H27" s="475"/>
      <c r="I27" s="475"/>
      <c r="J27" s="309"/>
      <c r="K27" s="309"/>
      <c r="L27" s="309"/>
      <c r="M27" s="309"/>
      <c r="N27" s="309"/>
      <c r="O27" s="309"/>
      <c r="P27" s="309"/>
      <c r="Q27" s="309"/>
    </row>
    <row r="28" spans="1:57" s="282" customFormat="1" ht="27" customHeight="1" x14ac:dyDescent="0.3">
      <c r="A28" s="477"/>
      <c r="B28" s="343" t="s">
        <v>146</v>
      </c>
      <c r="C28" s="475" t="s">
        <v>164</v>
      </c>
      <c r="D28" s="475"/>
      <c r="E28" s="475"/>
      <c r="F28" s="475"/>
      <c r="G28" s="475"/>
      <c r="H28" s="475"/>
      <c r="I28" s="475"/>
      <c r="J28" s="309"/>
      <c r="K28" s="309"/>
      <c r="L28" s="309"/>
      <c r="M28" s="309"/>
      <c r="N28" s="309"/>
      <c r="O28" s="309"/>
      <c r="P28" s="309"/>
      <c r="Q28" s="309"/>
    </row>
    <row r="29" spans="1:57" s="282" customFormat="1" ht="27" customHeight="1" x14ac:dyDescent="0.3">
      <c r="A29" s="477"/>
      <c r="B29" s="343" t="s">
        <v>146</v>
      </c>
      <c r="C29" s="475" t="s">
        <v>165</v>
      </c>
      <c r="D29" s="475"/>
      <c r="E29" s="475"/>
      <c r="F29" s="475"/>
      <c r="G29" s="475"/>
      <c r="H29" s="475"/>
      <c r="I29" s="475"/>
      <c r="J29" s="309"/>
      <c r="K29" s="309"/>
      <c r="L29" s="309"/>
      <c r="M29" s="309"/>
      <c r="N29" s="309"/>
      <c r="O29" s="309"/>
      <c r="P29" s="309"/>
      <c r="Q29" s="309"/>
    </row>
    <row r="30" spans="1:57" s="282" customFormat="1" ht="27" customHeight="1" x14ac:dyDescent="0.3">
      <c r="A30" s="477"/>
      <c r="B30" s="343" t="s">
        <v>146</v>
      </c>
      <c r="C30" s="475" t="s">
        <v>166</v>
      </c>
      <c r="D30" s="475"/>
      <c r="E30" s="475"/>
      <c r="F30" s="475"/>
      <c r="G30" s="475"/>
      <c r="H30" s="475"/>
      <c r="I30" s="475"/>
      <c r="J30" s="309"/>
      <c r="K30" s="309"/>
      <c r="L30" s="309"/>
      <c r="M30" s="309"/>
      <c r="N30" s="309"/>
      <c r="O30" s="309"/>
      <c r="P30" s="309"/>
      <c r="Q30" s="309"/>
    </row>
    <row r="31" spans="1:57" s="282" customFormat="1" ht="27" customHeight="1" thickBot="1" x14ac:dyDescent="0.35">
      <c r="A31" s="478"/>
      <c r="B31" s="349" t="s">
        <v>146</v>
      </c>
      <c r="C31" s="503" t="s">
        <v>167</v>
      </c>
      <c r="D31" s="503"/>
      <c r="E31" s="503"/>
      <c r="F31" s="503"/>
      <c r="G31" s="503"/>
      <c r="H31" s="503"/>
      <c r="I31" s="503"/>
      <c r="J31" s="310"/>
      <c r="K31" s="473"/>
      <c r="L31" s="473"/>
      <c r="M31" s="473"/>
      <c r="N31" s="473"/>
      <c r="O31" s="473"/>
      <c r="P31" s="473"/>
      <c r="Q31" s="473"/>
    </row>
    <row r="32" spans="1:57" s="282" customFormat="1" ht="27" customHeight="1" x14ac:dyDescent="0.3">
      <c r="A32" s="493">
        <v>43689</v>
      </c>
      <c r="B32" s="356" t="s">
        <v>146</v>
      </c>
      <c r="C32" s="492" t="s">
        <v>168</v>
      </c>
      <c r="D32" s="492"/>
      <c r="E32" s="492"/>
      <c r="F32" s="492"/>
      <c r="G32" s="492"/>
      <c r="H32" s="492"/>
      <c r="I32" s="492"/>
      <c r="J32" s="388" t="s">
        <v>59</v>
      </c>
      <c r="K32" s="437"/>
      <c r="L32" s="437"/>
      <c r="M32" s="437"/>
      <c r="N32" s="437"/>
      <c r="O32" s="437"/>
      <c r="P32" s="437"/>
      <c r="Q32" s="437"/>
    </row>
    <row r="33" spans="1:57" s="282" customFormat="1" ht="27" customHeight="1" x14ac:dyDescent="0.3">
      <c r="A33" s="501"/>
      <c r="B33" s="343" t="s">
        <v>146</v>
      </c>
      <c r="C33" s="479" t="s">
        <v>169</v>
      </c>
      <c r="D33" s="479"/>
      <c r="E33" s="479"/>
      <c r="F33" s="479"/>
      <c r="G33" s="479"/>
      <c r="H33" s="479"/>
      <c r="I33" s="479"/>
      <c r="J33" s="308" t="s">
        <v>59</v>
      </c>
      <c r="K33" s="472"/>
      <c r="L33" s="472"/>
      <c r="M33" s="472"/>
      <c r="N33" s="472"/>
      <c r="O33" s="472"/>
      <c r="P33" s="472"/>
      <c r="Q33" s="472"/>
    </row>
    <row r="34" spans="1:57" s="282" customFormat="1" ht="27" customHeight="1" x14ac:dyDescent="0.3">
      <c r="A34" s="501"/>
      <c r="B34" s="343" t="s">
        <v>146</v>
      </c>
      <c r="C34" s="479" t="s">
        <v>170</v>
      </c>
      <c r="D34" s="479"/>
      <c r="E34" s="479"/>
      <c r="F34" s="479"/>
      <c r="G34" s="479"/>
      <c r="H34" s="479"/>
      <c r="I34" s="479"/>
      <c r="J34" s="308" t="s">
        <v>59</v>
      </c>
      <c r="K34" s="472"/>
      <c r="L34" s="472"/>
      <c r="M34" s="472"/>
      <c r="N34" s="472"/>
      <c r="O34" s="472"/>
      <c r="P34" s="472"/>
      <c r="Q34" s="472"/>
    </row>
    <row r="35" spans="1:57" s="282" customFormat="1" ht="27" customHeight="1" x14ac:dyDescent="0.3">
      <c r="A35" s="501"/>
      <c r="B35" s="346" t="s">
        <v>146</v>
      </c>
      <c r="C35" s="504" t="s">
        <v>171</v>
      </c>
      <c r="D35" s="504"/>
      <c r="E35" s="504"/>
      <c r="F35" s="504"/>
      <c r="G35" s="504"/>
      <c r="H35" s="504"/>
      <c r="I35" s="504"/>
      <c r="J35" s="283" t="s">
        <v>59</v>
      </c>
      <c r="K35" s="402"/>
      <c r="L35" s="402"/>
      <c r="M35" s="402"/>
      <c r="N35" s="402"/>
      <c r="O35" s="402"/>
      <c r="P35" s="402"/>
      <c r="Q35" s="402"/>
    </row>
    <row r="36" spans="1:57" ht="27" customHeight="1" thickBot="1" x14ac:dyDescent="0.35">
      <c r="A36" s="502"/>
      <c r="B36" s="349" t="s">
        <v>23</v>
      </c>
      <c r="C36" s="431" t="s">
        <v>91</v>
      </c>
      <c r="D36" s="431"/>
      <c r="E36" s="431"/>
      <c r="F36" s="431"/>
      <c r="G36" s="431"/>
      <c r="H36" s="431"/>
      <c r="I36" s="431"/>
      <c r="J36" s="350" t="s">
        <v>59</v>
      </c>
      <c r="K36" s="397"/>
      <c r="L36" s="397"/>
      <c r="M36" s="397"/>
      <c r="N36" s="397"/>
      <c r="O36" s="397"/>
      <c r="P36" s="397"/>
      <c r="Q36" s="397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282"/>
      <c r="AS36" s="282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2"/>
      <c r="BE36" s="282"/>
    </row>
    <row r="37" spans="1:57" s="283" customFormat="1" ht="27" customHeight="1" x14ac:dyDescent="0.3">
      <c r="A37" s="399"/>
      <c r="B37" s="293"/>
      <c r="C37" s="398"/>
      <c r="D37" s="398"/>
      <c r="E37" s="398"/>
      <c r="F37" s="398"/>
      <c r="G37" s="398"/>
      <c r="H37" s="398"/>
      <c r="I37" s="398"/>
      <c r="K37" s="401"/>
      <c r="L37" s="401"/>
      <c r="M37" s="401"/>
      <c r="N37" s="401"/>
      <c r="O37" s="401"/>
      <c r="P37" s="401"/>
      <c r="Q37" s="401"/>
    </row>
    <row r="38" spans="1:57" s="282" customFormat="1" x14ac:dyDescent="0.3">
      <c r="C38" s="470"/>
      <c r="D38" s="470"/>
      <c r="E38" s="470"/>
      <c r="F38" s="470"/>
      <c r="G38" s="470"/>
      <c r="H38" s="470"/>
      <c r="I38" s="470"/>
    </row>
    <row r="39" spans="1:57" s="282" customFormat="1" x14ac:dyDescent="0.3">
      <c r="C39" s="470"/>
      <c r="D39" s="470"/>
      <c r="E39" s="470"/>
      <c r="F39" s="470"/>
      <c r="G39" s="470"/>
      <c r="H39" s="470"/>
      <c r="I39" s="470"/>
    </row>
    <row r="40" spans="1:57" s="282" customFormat="1" x14ac:dyDescent="0.3">
      <c r="C40" s="470"/>
      <c r="D40" s="470"/>
      <c r="E40" s="470"/>
      <c r="F40" s="470"/>
      <c r="G40" s="470"/>
      <c r="H40" s="470"/>
      <c r="I40" s="470"/>
    </row>
    <row r="41" spans="1:57" s="282" customFormat="1" x14ac:dyDescent="0.3">
      <c r="C41" s="470"/>
      <c r="D41" s="470"/>
      <c r="E41" s="470"/>
      <c r="F41" s="470"/>
      <c r="G41" s="470"/>
      <c r="H41" s="470"/>
      <c r="I41" s="470"/>
    </row>
    <row r="42" spans="1:57" s="282" customFormat="1" x14ac:dyDescent="0.3">
      <c r="C42" s="470"/>
      <c r="D42" s="470"/>
      <c r="E42" s="470"/>
      <c r="F42" s="470"/>
      <c r="G42" s="470"/>
      <c r="H42" s="470"/>
      <c r="I42" s="470"/>
    </row>
    <row r="43" spans="1:57" s="282" customFormat="1" x14ac:dyDescent="0.3">
      <c r="C43" s="470"/>
      <c r="D43" s="470"/>
      <c r="E43" s="470"/>
      <c r="F43" s="470"/>
      <c r="G43" s="470"/>
      <c r="H43" s="470"/>
      <c r="I43" s="470"/>
    </row>
    <row r="44" spans="1:57" s="282" customFormat="1" x14ac:dyDescent="0.3"/>
    <row r="45" spans="1:57" s="282" customFormat="1" x14ac:dyDescent="0.3"/>
    <row r="46" spans="1:57" s="282" customFormat="1" x14ac:dyDescent="0.3"/>
    <row r="47" spans="1:57" s="282" customFormat="1" x14ac:dyDescent="0.3"/>
    <row r="48" spans="1:57" s="282" customFormat="1" x14ac:dyDescent="0.3"/>
    <row r="49" s="282" customFormat="1" x14ac:dyDescent="0.3"/>
    <row r="50" s="282" customFormat="1" x14ac:dyDescent="0.3"/>
    <row r="51" s="282" customFormat="1" x14ac:dyDescent="0.3"/>
    <row r="52" s="282" customFormat="1" x14ac:dyDescent="0.3"/>
    <row r="53" s="282" customFormat="1" x14ac:dyDescent="0.3"/>
    <row r="54" s="282" customFormat="1" x14ac:dyDescent="0.3"/>
    <row r="55" s="282" customFormat="1" x14ac:dyDescent="0.3"/>
    <row r="56" s="282" customFormat="1" x14ac:dyDescent="0.3"/>
    <row r="57" s="282" customFormat="1" x14ac:dyDescent="0.3"/>
    <row r="58" s="282" customFormat="1" x14ac:dyDescent="0.3"/>
    <row r="59" s="282" customFormat="1" x14ac:dyDescent="0.3"/>
    <row r="60" s="282" customFormat="1" x14ac:dyDescent="0.3"/>
    <row r="61" s="282" customFormat="1" x14ac:dyDescent="0.3"/>
    <row r="62" s="282" customFormat="1" x14ac:dyDescent="0.3"/>
    <row r="63" s="282" customFormat="1" x14ac:dyDescent="0.3"/>
    <row r="64" s="282" customFormat="1" x14ac:dyDescent="0.3"/>
    <row r="65" s="282" customFormat="1" x14ac:dyDescent="0.3"/>
    <row r="66" s="282" customFormat="1" x14ac:dyDescent="0.3"/>
    <row r="67" s="282" customFormat="1" x14ac:dyDescent="0.3"/>
    <row r="68" s="282" customFormat="1" x14ac:dyDescent="0.3"/>
    <row r="69" s="282" customFormat="1" x14ac:dyDescent="0.3"/>
    <row r="70" s="282" customFormat="1" x14ac:dyDescent="0.3"/>
    <row r="71" s="282" customFormat="1" x14ac:dyDescent="0.3"/>
    <row r="72" s="282" customFormat="1" x14ac:dyDescent="0.3"/>
    <row r="73" s="282" customFormat="1" x14ac:dyDescent="0.3"/>
    <row r="74" s="282" customFormat="1" x14ac:dyDescent="0.3"/>
    <row r="75" s="282" customFormat="1" x14ac:dyDescent="0.3"/>
    <row r="76" s="282" customFormat="1" x14ac:dyDescent="0.3"/>
    <row r="77" s="282" customFormat="1" x14ac:dyDescent="0.3"/>
    <row r="78" s="282" customFormat="1" x14ac:dyDescent="0.3"/>
    <row r="79" s="282" customFormat="1" x14ac:dyDescent="0.3"/>
    <row r="80" s="282" customFormat="1" x14ac:dyDescent="0.3"/>
    <row r="81" s="282" customFormat="1" x14ac:dyDescent="0.3"/>
    <row r="82" s="282" customFormat="1" x14ac:dyDescent="0.3"/>
    <row r="83" s="282" customFormat="1" x14ac:dyDescent="0.3"/>
    <row r="84" s="282" customFormat="1" x14ac:dyDescent="0.3"/>
    <row r="85" s="282" customFormat="1" x14ac:dyDescent="0.3"/>
    <row r="86" s="282" customFormat="1" x14ac:dyDescent="0.3"/>
    <row r="87" s="282" customFormat="1" x14ac:dyDescent="0.3"/>
    <row r="88" s="282" customFormat="1" x14ac:dyDescent="0.3"/>
    <row r="89" s="282" customFormat="1" x14ac:dyDescent="0.3"/>
    <row r="90" s="282" customFormat="1" x14ac:dyDescent="0.3"/>
    <row r="91" s="282" customFormat="1" x14ac:dyDescent="0.3"/>
    <row r="92" s="282" customFormat="1" x14ac:dyDescent="0.3"/>
    <row r="93" s="282" customFormat="1" x14ac:dyDescent="0.3"/>
    <row r="94" s="282" customFormat="1" x14ac:dyDescent="0.3"/>
    <row r="95" s="282" customFormat="1" x14ac:dyDescent="0.3"/>
    <row r="96" s="282" customFormat="1" x14ac:dyDescent="0.3"/>
    <row r="97" s="282" customFormat="1" x14ac:dyDescent="0.3"/>
    <row r="98" s="282" customFormat="1" x14ac:dyDescent="0.3"/>
    <row r="99" s="282" customFormat="1" x14ac:dyDescent="0.3"/>
    <row r="100" s="282" customFormat="1" x14ac:dyDescent="0.3"/>
    <row r="101" s="282" customFormat="1" x14ac:dyDescent="0.3"/>
    <row r="102" s="282" customFormat="1" x14ac:dyDescent="0.3"/>
    <row r="103" s="282" customFormat="1" x14ac:dyDescent="0.3"/>
    <row r="104" s="282" customFormat="1" x14ac:dyDescent="0.3"/>
    <row r="105" s="282" customFormat="1" x14ac:dyDescent="0.3"/>
    <row r="106" s="282" customFormat="1" x14ac:dyDescent="0.3"/>
    <row r="107" s="282" customFormat="1" x14ac:dyDescent="0.3"/>
    <row r="108" s="282" customFormat="1" x14ac:dyDescent="0.3"/>
    <row r="109" s="282" customFormat="1" x14ac:dyDescent="0.3"/>
    <row r="110" s="282" customFormat="1" x14ac:dyDescent="0.3"/>
    <row r="111" s="282" customFormat="1" x14ac:dyDescent="0.3"/>
    <row r="112" s="282" customFormat="1" x14ac:dyDescent="0.3"/>
    <row r="113" s="282" customFormat="1" x14ac:dyDescent="0.3"/>
    <row r="114" s="282" customFormat="1" x14ac:dyDescent="0.3"/>
    <row r="115" s="282" customFormat="1" x14ac:dyDescent="0.3"/>
    <row r="116" s="282" customFormat="1" x14ac:dyDescent="0.3"/>
    <row r="117" s="282" customFormat="1" x14ac:dyDescent="0.3"/>
    <row r="118" s="282" customFormat="1" x14ac:dyDescent="0.3"/>
    <row r="119" s="282" customFormat="1" x14ac:dyDescent="0.3"/>
    <row r="120" s="282" customFormat="1" x14ac:dyDescent="0.3"/>
    <row r="121" s="282" customFormat="1" x14ac:dyDescent="0.3"/>
    <row r="122" s="282" customFormat="1" x14ac:dyDescent="0.3"/>
    <row r="123" s="282" customFormat="1" x14ac:dyDescent="0.3"/>
    <row r="124" s="282" customFormat="1" x14ac:dyDescent="0.3"/>
    <row r="125" s="282" customFormat="1" x14ac:dyDescent="0.3"/>
    <row r="126" s="282" customFormat="1" x14ac:dyDescent="0.3"/>
    <row r="127" s="282" customFormat="1" x14ac:dyDescent="0.3"/>
    <row r="128" s="282" customFormat="1" x14ac:dyDescent="0.3"/>
    <row r="129" s="282" customFormat="1" x14ac:dyDescent="0.3"/>
    <row r="130" s="282" customFormat="1" x14ac:dyDescent="0.3"/>
    <row r="131" s="282" customFormat="1" x14ac:dyDescent="0.3"/>
    <row r="132" s="282" customFormat="1" x14ac:dyDescent="0.3"/>
    <row r="133" s="282" customFormat="1" x14ac:dyDescent="0.3"/>
    <row r="134" s="282" customFormat="1" x14ac:dyDescent="0.3"/>
    <row r="135" s="282" customFormat="1" x14ac:dyDescent="0.3"/>
    <row r="136" s="282" customFormat="1" x14ac:dyDescent="0.3"/>
    <row r="137" s="282" customFormat="1" x14ac:dyDescent="0.3"/>
    <row r="138" s="282" customFormat="1" x14ac:dyDescent="0.3"/>
    <row r="139" s="282" customFormat="1" x14ac:dyDescent="0.3"/>
    <row r="140" s="282" customFormat="1" x14ac:dyDescent="0.3"/>
    <row r="141" s="282" customFormat="1" x14ac:dyDescent="0.3"/>
    <row r="142" s="282" customFormat="1" x14ac:dyDescent="0.3"/>
    <row r="143" s="282" customFormat="1" x14ac:dyDescent="0.3"/>
    <row r="144" s="282" customFormat="1" x14ac:dyDescent="0.3"/>
    <row r="145" s="282" customFormat="1" x14ac:dyDescent="0.3"/>
    <row r="146" s="282" customFormat="1" x14ac:dyDescent="0.3"/>
    <row r="147" s="282" customFormat="1" x14ac:dyDescent="0.3"/>
    <row r="148" s="282" customFormat="1" x14ac:dyDescent="0.3"/>
    <row r="149" s="282" customFormat="1" x14ac:dyDescent="0.3"/>
    <row r="150" s="282" customFormat="1" x14ac:dyDescent="0.3"/>
    <row r="151" s="282" customFormat="1" x14ac:dyDescent="0.3"/>
    <row r="152" s="282" customFormat="1" x14ac:dyDescent="0.3"/>
    <row r="153" s="282" customFormat="1" x14ac:dyDescent="0.3"/>
    <row r="154" s="282" customFormat="1" x14ac:dyDescent="0.3"/>
    <row r="155" s="282" customFormat="1" x14ac:dyDescent="0.3"/>
    <row r="156" s="282" customFormat="1" x14ac:dyDescent="0.3"/>
    <row r="157" s="282" customFormat="1" x14ac:dyDescent="0.3"/>
    <row r="158" s="282" customFormat="1" x14ac:dyDescent="0.3"/>
    <row r="159" s="282" customFormat="1" x14ac:dyDescent="0.3"/>
    <row r="160" s="282" customFormat="1" x14ac:dyDescent="0.3"/>
    <row r="161" s="282" customFormat="1" x14ac:dyDescent="0.3"/>
    <row r="162" s="282" customFormat="1" x14ac:dyDescent="0.3"/>
    <row r="163" s="282" customFormat="1" x14ac:dyDescent="0.3"/>
  </sheetData>
  <mergeCells count="54">
    <mergeCell ref="N1:P1"/>
    <mergeCell ref="A1:B2"/>
    <mergeCell ref="C1:C2"/>
    <mergeCell ref="E1:G1"/>
    <mergeCell ref="H1:J1"/>
    <mergeCell ref="K1:M1"/>
    <mergeCell ref="A3:B6"/>
    <mergeCell ref="A9:Q9"/>
    <mergeCell ref="C10:I10"/>
    <mergeCell ref="K10:Q10"/>
    <mergeCell ref="C11:I11"/>
    <mergeCell ref="K11:Q11"/>
    <mergeCell ref="C12:I12"/>
    <mergeCell ref="K12:Q12"/>
    <mergeCell ref="C13:I13"/>
    <mergeCell ref="K13:Q13"/>
    <mergeCell ref="C14:I14"/>
    <mergeCell ref="K14:Q14"/>
    <mergeCell ref="C15:I15"/>
    <mergeCell ref="K15:Q15"/>
    <mergeCell ref="C16:I16"/>
    <mergeCell ref="K16:Q16"/>
    <mergeCell ref="C17:I17"/>
    <mergeCell ref="K17:Q17"/>
    <mergeCell ref="A20:Q20"/>
    <mergeCell ref="C21:I21"/>
    <mergeCell ref="K21:Q21"/>
    <mergeCell ref="A22:A31"/>
    <mergeCell ref="C22:I22"/>
    <mergeCell ref="C23:I23"/>
    <mergeCell ref="C24:I24"/>
    <mergeCell ref="A32:A36"/>
    <mergeCell ref="C32:I32"/>
    <mergeCell ref="C33:I33"/>
    <mergeCell ref="C34:I34"/>
    <mergeCell ref="C36:I36"/>
    <mergeCell ref="C35:I35"/>
    <mergeCell ref="C43:I43"/>
    <mergeCell ref="C25:I25"/>
    <mergeCell ref="C26:I26"/>
    <mergeCell ref="C27:I27"/>
    <mergeCell ref="C28:I28"/>
    <mergeCell ref="C29:I29"/>
    <mergeCell ref="C30:I30"/>
    <mergeCell ref="C31:I31"/>
    <mergeCell ref="C38:I38"/>
    <mergeCell ref="C39:I39"/>
    <mergeCell ref="C40:I40"/>
    <mergeCell ref="C41:I41"/>
    <mergeCell ref="K32:Q32"/>
    <mergeCell ref="K33:Q33"/>
    <mergeCell ref="K34:Q34"/>
    <mergeCell ref="K31:Q31"/>
    <mergeCell ref="C42:I42"/>
  </mergeCells>
  <conditionalFormatting sqref="J1:J2 J11:J17">
    <cfRule type="containsText" dxfId="37" priority="13" operator="containsText" text="Дополнительно">
      <formula>NOT(ISERROR(SEARCH("Дополнительно",J1)))</formula>
    </cfRule>
  </conditionalFormatting>
  <conditionalFormatting sqref="J9:J10">
    <cfRule type="expression" dxfId="36" priority="11">
      <formula>$J9 = "Перенос"</formula>
    </cfRule>
    <cfRule type="expression" dxfId="35" priority="12">
      <formula>OR($J9 = "Готово", $J9 ="Не Делаем")</formula>
    </cfRule>
  </conditionalFormatting>
  <conditionalFormatting sqref="J9:J10">
    <cfRule type="containsText" dxfId="34" priority="9" operator="containsText" text="Дополнительно">
      <formula>NOT(ISERROR(SEARCH("Дополнительно",J9)))</formula>
    </cfRule>
    <cfRule type="expression" dxfId="33" priority="10">
      <formula>OR($J9 = "Готово", $J9 ="Не Делаем")</formula>
    </cfRule>
  </conditionalFormatting>
  <conditionalFormatting sqref="J1:J35 J37:J1048576">
    <cfRule type="expression" dxfId="32" priority="8">
      <formula>OR($J1 = "Готово", $J1 ="Не Делаем")</formula>
    </cfRule>
  </conditionalFormatting>
  <conditionalFormatting sqref="J15:J17">
    <cfRule type="expression" dxfId="31" priority="7">
      <formula>OR($J15 = "Готово", $J15 ="Не Делаем")</formula>
    </cfRule>
  </conditionalFormatting>
  <conditionalFormatting sqref="J20:J21">
    <cfRule type="expression" dxfId="30" priority="5">
      <formula>$J20 = "Перенос"</formula>
    </cfRule>
    <cfRule type="expression" dxfId="29" priority="6">
      <formula>OR($J20 = "Готово", $J20 ="Не Делаем")</formula>
    </cfRule>
  </conditionalFormatting>
  <conditionalFormatting sqref="J20:J21">
    <cfRule type="containsText" dxfId="28" priority="3" operator="containsText" text="Дополнительно">
      <formula>NOT(ISERROR(SEARCH("Дополнительно",J20)))</formula>
    </cfRule>
    <cfRule type="expression" dxfId="27" priority="4">
      <formula>OR($J20 = "Готово", $J20 ="Не Делаем")</formula>
    </cfRule>
  </conditionalFormatting>
  <conditionalFormatting sqref="J36">
    <cfRule type="containsText" dxfId="26" priority="1" operator="containsText" text="Дополнительно">
      <formula>NOT(ISERROR(SEARCH("Дополнительно",J36)))</formula>
    </cfRule>
    <cfRule type="expression" dxfId="25" priority="2">
      <formula>OR($J36 = "Готово", $J36 ="Не Делаем")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3ED85-2FBB-494F-9CC9-55C04AD63F30}">
  <sheetPr codeName="Лист6"/>
  <dimension ref="A1:BE60"/>
  <sheetViews>
    <sheetView topLeftCell="A28" workbookViewId="0">
      <selection activeCell="A41" sqref="A41"/>
    </sheetView>
  </sheetViews>
  <sheetFormatPr defaultRowHeight="14.4" x14ac:dyDescent="0.3"/>
  <cols>
    <col min="1" max="1" width="10.109375" bestFit="1" customWidth="1"/>
    <col min="2" max="2" width="11.33203125" customWidth="1"/>
    <col min="3" max="3" width="45.88671875" customWidth="1"/>
    <col min="4" max="4" width="8.109375" customWidth="1"/>
    <col min="6" max="6" width="7.109375" customWidth="1"/>
    <col min="7" max="7" width="8.88671875" customWidth="1"/>
    <col min="10" max="10" width="11.44140625" bestFit="1" customWidth="1"/>
  </cols>
  <sheetData>
    <row r="1" spans="1:55" x14ac:dyDescent="0.3">
      <c r="A1" s="487"/>
      <c r="B1" s="487"/>
      <c r="C1" s="486" t="s">
        <v>1</v>
      </c>
      <c r="D1" s="322" t="s">
        <v>0</v>
      </c>
      <c r="E1" s="486">
        <v>33</v>
      </c>
      <c r="F1" s="486"/>
      <c r="G1" s="486"/>
      <c r="H1" s="486">
        <f>E1-1</f>
        <v>32</v>
      </c>
      <c r="I1" s="486"/>
      <c r="J1" s="486"/>
      <c r="K1" s="486">
        <f>H1-1</f>
        <v>31</v>
      </c>
      <c r="L1" s="486"/>
      <c r="M1" s="486"/>
      <c r="N1" s="486">
        <f>K1-1</f>
        <v>30</v>
      </c>
      <c r="O1" s="486"/>
      <c r="P1" s="486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2"/>
      <c r="AH1" s="282"/>
      <c r="AI1" s="282"/>
      <c r="AJ1" s="282"/>
      <c r="AK1" s="282"/>
      <c r="AL1" s="282"/>
      <c r="AM1" s="282"/>
      <c r="AN1" s="282"/>
      <c r="AO1" s="282"/>
      <c r="AP1" s="282"/>
      <c r="AQ1" s="282"/>
      <c r="AR1" s="282"/>
      <c r="AS1" s="282"/>
      <c r="AT1" s="282"/>
      <c r="AU1" s="282"/>
      <c r="AV1" s="282"/>
      <c r="AW1" s="282"/>
      <c r="AX1" s="282"/>
      <c r="AY1" s="282"/>
      <c r="AZ1" s="282"/>
      <c r="BA1" s="282"/>
      <c r="BB1" s="282"/>
      <c r="BC1" s="282"/>
    </row>
    <row r="2" spans="1:55" x14ac:dyDescent="0.3">
      <c r="A2" s="487"/>
      <c r="B2" s="487"/>
      <c r="C2" s="486"/>
      <c r="D2" s="323" t="s">
        <v>2</v>
      </c>
      <c r="E2" s="320" t="s">
        <v>3</v>
      </c>
      <c r="F2" s="320" t="s">
        <v>4</v>
      </c>
      <c r="G2" s="320" t="s">
        <v>5</v>
      </c>
      <c r="H2" s="320" t="s">
        <v>3</v>
      </c>
      <c r="I2" s="320" t="s">
        <v>4</v>
      </c>
      <c r="J2" s="320" t="s">
        <v>5</v>
      </c>
      <c r="K2" s="320" t="s">
        <v>3</v>
      </c>
      <c r="L2" s="320" t="s">
        <v>4</v>
      </c>
      <c r="M2" s="320" t="s">
        <v>5</v>
      </c>
      <c r="N2" s="320" t="s">
        <v>3</v>
      </c>
      <c r="O2" s="320" t="s">
        <v>4</v>
      </c>
      <c r="P2" s="320" t="s">
        <v>5</v>
      </c>
      <c r="Q2" s="282"/>
      <c r="R2" s="282"/>
      <c r="S2" s="282"/>
      <c r="T2" s="282"/>
      <c r="U2" s="282"/>
      <c r="V2" s="282"/>
      <c r="W2" s="282"/>
      <c r="X2" s="282"/>
      <c r="Y2" s="282"/>
      <c r="Z2" s="282"/>
      <c r="AA2" s="282"/>
      <c r="AB2" s="282"/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</row>
    <row r="3" spans="1:55" x14ac:dyDescent="0.3">
      <c r="A3" s="481" t="s">
        <v>172</v>
      </c>
      <c r="B3" s="482"/>
      <c r="C3" s="321" t="s">
        <v>173</v>
      </c>
      <c r="D3" s="324">
        <v>0.99</v>
      </c>
      <c r="E3" s="360">
        <v>0.99</v>
      </c>
      <c r="F3" s="360">
        <v>0.99</v>
      </c>
      <c r="G3" s="328">
        <f t="shared" ref="G3:G4" si="0">F3/E3</f>
        <v>1</v>
      </c>
      <c r="H3" s="360">
        <v>0.99</v>
      </c>
      <c r="I3" s="360">
        <v>0.99</v>
      </c>
      <c r="J3" s="328">
        <f t="shared" ref="J3:J4" si="1">I3/H3</f>
        <v>1</v>
      </c>
      <c r="K3" s="360">
        <v>0.99</v>
      </c>
      <c r="L3" s="360">
        <v>0.99</v>
      </c>
      <c r="M3" s="328">
        <f t="shared" ref="M3:M4" si="2">L3/K3</f>
        <v>1</v>
      </c>
      <c r="N3" s="360">
        <v>0.99</v>
      </c>
      <c r="O3" s="360">
        <v>0.99</v>
      </c>
      <c r="P3" s="328">
        <f t="shared" ref="P3:P4" si="3">O3/N3</f>
        <v>1</v>
      </c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</row>
    <row r="4" spans="1:55" x14ac:dyDescent="0.3">
      <c r="A4" s="496"/>
      <c r="B4" s="497"/>
      <c r="C4" s="321" t="s">
        <v>174</v>
      </c>
      <c r="D4" s="324">
        <v>0.99</v>
      </c>
      <c r="E4" s="360">
        <v>0.99</v>
      </c>
      <c r="F4" s="360">
        <v>0.99</v>
      </c>
      <c r="G4" s="328">
        <f t="shared" si="0"/>
        <v>1</v>
      </c>
      <c r="H4" s="360">
        <v>0.99</v>
      </c>
      <c r="I4" s="360">
        <v>0.99</v>
      </c>
      <c r="J4" s="328">
        <f t="shared" si="1"/>
        <v>1</v>
      </c>
      <c r="K4" s="360">
        <v>0.99</v>
      </c>
      <c r="L4" s="360">
        <v>0.99</v>
      </c>
      <c r="M4" s="328">
        <f t="shared" si="2"/>
        <v>1</v>
      </c>
      <c r="N4" s="360">
        <v>0.99</v>
      </c>
      <c r="O4" s="360">
        <v>0.99</v>
      </c>
      <c r="P4" s="328">
        <f t="shared" si="3"/>
        <v>1</v>
      </c>
      <c r="Q4" s="282"/>
      <c r="R4" s="282"/>
      <c r="S4" s="282"/>
      <c r="T4" s="282"/>
      <c r="U4" s="282"/>
      <c r="V4" s="282"/>
      <c r="W4" s="282"/>
      <c r="X4" s="282"/>
      <c r="Y4" s="282"/>
      <c r="Z4" s="282"/>
      <c r="AA4" s="282"/>
      <c r="AB4" s="282"/>
      <c r="AC4" s="282"/>
      <c r="AD4" s="282"/>
      <c r="AE4" s="282"/>
      <c r="AF4" s="282"/>
      <c r="AG4" s="282"/>
      <c r="AH4" s="282"/>
      <c r="AI4" s="282"/>
      <c r="AJ4" s="282"/>
      <c r="AK4" s="282"/>
      <c r="AL4" s="282"/>
      <c r="AM4" s="282"/>
      <c r="AN4" s="282"/>
      <c r="AO4" s="282"/>
      <c r="AP4" s="282"/>
      <c r="AQ4" s="282"/>
      <c r="AR4" s="282"/>
      <c r="AS4" s="282"/>
      <c r="AT4" s="282"/>
      <c r="AU4" s="282"/>
      <c r="AV4" s="282"/>
      <c r="AW4" s="282"/>
      <c r="AX4" s="282"/>
      <c r="AY4" s="282"/>
      <c r="AZ4" s="282"/>
      <c r="BA4" s="282"/>
      <c r="BB4" s="282"/>
      <c r="BC4" s="282"/>
    </row>
    <row r="5" spans="1:55" x14ac:dyDescent="0.3">
      <c r="A5" s="483"/>
      <c r="B5" s="484"/>
      <c r="C5" s="321" t="s">
        <v>175</v>
      </c>
      <c r="D5" s="325">
        <v>5</v>
      </c>
      <c r="E5" s="326"/>
      <c r="F5" s="327"/>
      <c r="G5" s="328"/>
      <c r="H5" s="326"/>
      <c r="I5" s="327"/>
      <c r="J5" s="328"/>
      <c r="K5" s="326"/>
      <c r="L5" s="327"/>
      <c r="M5" s="328"/>
      <c r="N5" s="326"/>
      <c r="O5" s="327"/>
      <c r="P5" s="328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282"/>
      <c r="AL5" s="282"/>
      <c r="AM5" s="282"/>
      <c r="AN5" s="282"/>
      <c r="AO5" s="282"/>
      <c r="AP5" s="282"/>
      <c r="AQ5" s="282"/>
      <c r="AR5" s="282"/>
      <c r="AS5" s="282"/>
      <c r="AT5" s="282"/>
      <c r="AU5" s="282"/>
      <c r="AV5" s="282"/>
      <c r="AW5" s="282"/>
      <c r="AX5" s="282"/>
      <c r="AY5" s="282"/>
      <c r="AZ5" s="282"/>
      <c r="BA5" s="282"/>
      <c r="BB5" s="282"/>
      <c r="BC5" s="282"/>
    </row>
    <row r="6" spans="1:55" s="282" customFormat="1" x14ac:dyDescent="0.3">
      <c r="A6" s="293"/>
      <c r="B6" s="293"/>
      <c r="C6" s="6"/>
      <c r="D6" s="361"/>
      <c r="E6" s="6"/>
      <c r="F6" s="6"/>
      <c r="G6" s="362"/>
      <c r="H6" s="6"/>
      <c r="I6" s="6"/>
      <c r="J6" s="281"/>
      <c r="K6" s="6"/>
      <c r="L6" s="6"/>
      <c r="M6" s="281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</row>
    <row r="7" spans="1:55" s="282" customFormat="1" x14ac:dyDescent="0.3">
      <c r="A7" s="363"/>
      <c r="B7" s="283"/>
      <c r="C7" s="283"/>
      <c r="D7" s="283"/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</row>
    <row r="8" spans="1:55" s="282" customFormat="1" ht="16.2" thickBot="1" x14ac:dyDescent="0.35">
      <c r="A8" s="451" t="s">
        <v>25</v>
      </c>
      <c r="B8" s="451"/>
      <c r="C8" s="451"/>
      <c r="D8" s="451"/>
      <c r="E8" s="451"/>
      <c r="F8" s="451"/>
      <c r="G8" s="451"/>
      <c r="H8" s="451"/>
      <c r="I8" s="451"/>
      <c r="J8" s="451"/>
      <c r="K8" s="451"/>
      <c r="L8" s="451"/>
      <c r="M8" s="451"/>
      <c r="N8" s="451"/>
      <c r="O8" s="451"/>
      <c r="P8" s="451"/>
      <c r="Q8" s="451"/>
    </row>
    <row r="9" spans="1:55" s="282" customFormat="1" x14ac:dyDescent="0.3">
      <c r="A9" s="336" t="s">
        <v>26</v>
      </c>
      <c r="B9" s="337" t="s">
        <v>27</v>
      </c>
      <c r="C9" s="452" t="s">
        <v>28</v>
      </c>
      <c r="D9" s="452"/>
      <c r="E9" s="452"/>
      <c r="F9" s="452"/>
      <c r="G9" s="452"/>
      <c r="H9" s="452"/>
      <c r="I9" s="452"/>
      <c r="J9" s="338" t="s">
        <v>29</v>
      </c>
      <c r="K9" s="452" t="s">
        <v>30</v>
      </c>
      <c r="L9" s="452"/>
      <c r="M9" s="452"/>
      <c r="N9" s="452"/>
      <c r="O9" s="452"/>
      <c r="P9" s="452"/>
      <c r="Q9" s="453"/>
    </row>
    <row r="10" spans="1:55" s="282" customFormat="1" ht="27" customHeight="1" x14ac:dyDescent="0.3">
      <c r="A10" s="342">
        <v>43693</v>
      </c>
      <c r="B10" s="343" t="s">
        <v>172</v>
      </c>
      <c r="C10" s="485" t="s">
        <v>176</v>
      </c>
      <c r="D10" s="485"/>
      <c r="E10" s="485"/>
      <c r="F10" s="485"/>
      <c r="G10" s="485"/>
      <c r="H10" s="485"/>
      <c r="I10" s="485"/>
      <c r="J10" s="345" t="s">
        <v>32</v>
      </c>
      <c r="K10" s="389"/>
      <c r="L10" s="389"/>
      <c r="M10" s="389"/>
      <c r="N10" s="389"/>
      <c r="O10" s="389"/>
      <c r="P10" s="389"/>
      <c r="Q10" s="389"/>
    </row>
    <row r="11" spans="1:55" s="282" customFormat="1" ht="27" customHeight="1" x14ac:dyDescent="0.3">
      <c r="A11" s="342">
        <v>43700</v>
      </c>
      <c r="B11" s="343" t="s">
        <v>172</v>
      </c>
      <c r="C11" s="485" t="s">
        <v>177</v>
      </c>
      <c r="D11" s="485"/>
      <c r="E11" s="485"/>
      <c r="F11" s="485"/>
      <c r="G11" s="485"/>
      <c r="H11" s="485"/>
      <c r="I11" s="485"/>
      <c r="J11" s="344" t="s">
        <v>32</v>
      </c>
      <c r="K11" s="429"/>
      <c r="L11" s="429"/>
      <c r="M11" s="429"/>
      <c r="N11" s="429"/>
      <c r="O11" s="429"/>
      <c r="P11" s="429"/>
      <c r="Q11" s="429"/>
    </row>
    <row r="12" spans="1:55" s="282" customFormat="1" ht="27" customHeight="1" x14ac:dyDescent="0.3">
      <c r="A12" s="342">
        <v>43714</v>
      </c>
      <c r="B12" s="343" t="s">
        <v>172</v>
      </c>
      <c r="C12" s="485" t="s">
        <v>178</v>
      </c>
      <c r="D12" s="485"/>
      <c r="E12" s="485"/>
      <c r="F12" s="485"/>
      <c r="G12" s="485"/>
      <c r="H12" s="485"/>
      <c r="I12" s="485"/>
      <c r="J12" s="344" t="s">
        <v>32</v>
      </c>
      <c r="K12" s="429"/>
      <c r="L12" s="429"/>
      <c r="M12" s="429"/>
      <c r="N12" s="429"/>
      <c r="O12" s="429"/>
      <c r="P12" s="429"/>
      <c r="Q12" s="429"/>
    </row>
    <row r="13" spans="1:55" s="282" customFormat="1" ht="27" customHeight="1" x14ac:dyDescent="0.3">
      <c r="A13" s="342">
        <v>43709</v>
      </c>
      <c r="B13" s="343" t="s">
        <v>172</v>
      </c>
      <c r="C13" s="485" t="s">
        <v>179</v>
      </c>
      <c r="D13" s="485"/>
      <c r="E13" s="485"/>
      <c r="F13" s="485"/>
      <c r="G13" s="485"/>
      <c r="H13" s="485"/>
      <c r="I13" s="485"/>
      <c r="J13" s="344" t="s">
        <v>32</v>
      </c>
      <c r="K13" s="429"/>
      <c r="L13" s="429"/>
      <c r="M13" s="429"/>
      <c r="N13" s="429"/>
      <c r="O13" s="429"/>
      <c r="P13" s="429"/>
      <c r="Q13" s="429"/>
    </row>
    <row r="14" spans="1:55" s="282" customFormat="1" ht="27" customHeight="1" x14ac:dyDescent="0.3">
      <c r="A14" s="342">
        <v>43707</v>
      </c>
      <c r="B14" s="343" t="s">
        <v>172</v>
      </c>
      <c r="C14" s="485" t="s">
        <v>180</v>
      </c>
      <c r="D14" s="485"/>
      <c r="E14" s="485"/>
      <c r="F14" s="485"/>
      <c r="G14" s="485"/>
      <c r="H14" s="485"/>
      <c r="I14" s="485"/>
      <c r="J14" s="344" t="s">
        <v>32</v>
      </c>
      <c r="K14" s="429"/>
      <c r="L14" s="429"/>
      <c r="M14" s="429"/>
      <c r="N14" s="429"/>
      <c r="O14" s="429"/>
      <c r="P14" s="429"/>
      <c r="Q14" s="429"/>
    </row>
    <row r="15" spans="1:55" s="282" customFormat="1" ht="27" customHeight="1" x14ac:dyDescent="0.3">
      <c r="A15" s="342">
        <v>43700</v>
      </c>
      <c r="B15" s="343" t="s">
        <v>172</v>
      </c>
      <c r="C15" s="485" t="s">
        <v>181</v>
      </c>
      <c r="D15" s="485"/>
      <c r="E15" s="485"/>
      <c r="F15" s="485"/>
      <c r="G15" s="485"/>
      <c r="H15" s="485"/>
      <c r="I15" s="485"/>
      <c r="J15" s="344" t="s">
        <v>32</v>
      </c>
      <c r="K15" s="429"/>
      <c r="L15" s="429"/>
      <c r="M15" s="429"/>
      <c r="N15" s="429"/>
      <c r="O15" s="429"/>
      <c r="P15" s="429"/>
      <c r="Q15" s="429"/>
    </row>
    <row r="16" spans="1:55" s="282" customFormat="1" ht="27" customHeight="1" x14ac:dyDescent="0.3">
      <c r="A16" s="342">
        <v>43693</v>
      </c>
      <c r="B16" s="343" t="s">
        <v>172</v>
      </c>
      <c r="C16" s="485" t="s">
        <v>182</v>
      </c>
      <c r="D16" s="485"/>
      <c r="E16" s="485"/>
      <c r="F16" s="485"/>
      <c r="G16" s="485"/>
      <c r="H16" s="485"/>
      <c r="I16" s="485"/>
      <c r="J16" s="345" t="s">
        <v>59</v>
      </c>
      <c r="K16" s="498" t="s">
        <v>183</v>
      </c>
      <c r="L16" s="498"/>
      <c r="M16" s="498"/>
      <c r="N16" s="498"/>
      <c r="O16" s="498"/>
      <c r="P16" s="498"/>
      <c r="Q16" s="498"/>
    </row>
    <row r="17" spans="1:17" s="282" customFormat="1" ht="27" customHeight="1" x14ac:dyDescent="0.3">
      <c r="A17" s="342">
        <v>43693</v>
      </c>
      <c r="B17" s="343" t="s">
        <v>172</v>
      </c>
      <c r="C17" s="485" t="s">
        <v>184</v>
      </c>
      <c r="D17" s="485"/>
      <c r="E17" s="485"/>
      <c r="F17" s="485"/>
      <c r="G17" s="485"/>
      <c r="H17" s="485"/>
      <c r="I17" s="485"/>
      <c r="J17" s="344" t="s">
        <v>32</v>
      </c>
      <c r="K17" s="389"/>
      <c r="L17" s="389"/>
      <c r="M17" s="389"/>
      <c r="N17" s="389"/>
      <c r="O17" s="389"/>
      <c r="P17" s="389"/>
      <c r="Q17" s="389"/>
    </row>
    <row r="18" spans="1:17" s="282" customFormat="1" ht="27" customHeight="1" x14ac:dyDescent="0.3">
      <c r="A18" s="342">
        <v>43672</v>
      </c>
      <c r="B18" s="343" t="s">
        <v>172</v>
      </c>
      <c r="C18" s="485" t="s">
        <v>185</v>
      </c>
      <c r="D18" s="485"/>
      <c r="E18" s="485"/>
      <c r="F18" s="485"/>
      <c r="G18" s="485"/>
      <c r="H18" s="485"/>
      <c r="I18" s="485"/>
      <c r="J18" s="345" t="s">
        <v>186</v>
      </c>
      <c r="K18" s="429" t="s">
        <v>187</v>
      </c>
      <c r="L18" s="429"/>
      <c r="M18" s="429"/>
      <c r="N18" s="429"/>
      <c r="O18" s="429"/>
      <c r="P18" s="429"/>
      <c r="Q18" s="429"/>
    </row>
    <row r="19" spans="1:17" s="282" customFormat="1" ht="27" customHeight="1" x14ac:dyDescent="0.3">
      <c r="A19" s="342">
        <v>43658</v>
      </c>
      <c r="B19" s="343" t="s">
        <v>172</v>
      </c>
      <c r="C19" s="485" t="s">
        <v>188</v>
      </c>
      <c r="D19" s="485"/>
      <c r="E19" s="485"/>
      <c r="F19" s="485"/>
      <c r="G19" s="485"/>
      <c r="H19" s="485"/>
      <c r="I19" s="485"/>
      <c r="J19" s="344" t="s">
        <v>32</v>
      </c>
      <c r="K19" s="389"/>
      <c r="L19" s="389"/>
      <c r="M19" s="389"/>
      <c r="N19" s="389"/>
      <c r="O19" s="389"/>
      <c r="P19" s="389"/>
      <c r="Q19" s="389"/>
    </row>
    <row r="20" spans="1:17" s="282" customFormat="1" ht="27" customHeight="1" x14ac:dyDescent="0.3">
      <c r="A20" s="342">
        <v>43672</v>
      </c>
      <c r="B20" s="343" t="s">
        <v>172</v>
      </c>
      <c r="C20" s="485" t="s">
        <v>189</v>
      </c>
      <c r="D20" s="485"/>
      <c r="E20" s="485"/>
      <c r="F20" s="485"/>
      <c r="G20" s="485"/>
      <c r="H20" s="485"/>
      <c r="I20" s="485"/>
      <c r="J20" s="344" t="s">
        <v>32</v>
      </c>
      <c r="K20" s="498" t="s">
        <v>190</v>
      </c>
      <c r="L20" s="498"/>
      <c r="M20" s="498"/>
      <c r="N20" s="498"/>
      <c r="O20" s="498"/>
      <c r="P20" s="498"/>
      <c r="Q20" s="498"/>
    </row>
    <row r="21" spans="1:17" s="282" customFormat="1" ht="27" customHeight="1" x14ac:dyDescent="0.3">
      <c r="A21" s="342">
        <v>43693</v>
      </c>
      <c r="B21" s="343" t="s">
        <v>172</v>
      </c>
      <c r="C21" s="485" t="s">
        <v>182</v>
      </c>
      <c r="D21" s="485"/>
      <c r="E21" s="485"/>
      <c r="F21" s="485"/>
      <c r="G21" s="485"/>
      <c r="H21" s="485"/>
      <c r="I21" s="485"/>
      <c r="J21" s="344" t="s">
        <v>32</v>
      </c>
      <c r="K21" s="389"/>
      <c r="L21" s="389"/>
      <c r="M21" s="389"/>
      <c r="N21" s="389"/>
      <c r="O21" s="389"/>
      <c r="P21" s="389"/>
      <c r="Q21" s="389"/>
    </row>
    <row r="22" spans="1:17" s="282" customFormat="1" ht="27" customHeight="1" x14ac:dyDescent="0.3">
      <c r="A22" s="342">
        <v>43709</v>
      </c>
      <c r="B22" s="343" t="s">
        <v>172</v>
      </c>
      <c r="C22" s="485" t="s">
        <v>191</v>
      </c>
      <c r="D22" s="485"/>
      <c r="E22" s="485"/>
      <c r="F22" s="485"/>
      <c r="G22" s="485"/>
      <c r="H22" s="485"/>
      <c r="I22" s="485"/>
      <c r="J22" s="344" t="s">
        <v>32</v>
      </c>
      <c r="K22" s="389"/>
      <c r="L22" s="389"/>
      <c r="M22" s="389"/>
      <c r="N22" s="389"/>
      <c r="O22" s="389"/>
      <c r="P22" s="389"/>
      <c r="Q22" s="389"/>
    </row>
    <row r="23" spans="1:17" s="282" customFormat="1" ht="27" customHeight="1" x14ac:dyDescent="0.3">
      <c r="A23" s="342">
        <v>43709</v>
      </c>
      <c r="B23" s="343" t="s">
        <v>172</v>
      </c>
      <c r="C23" s="485" t="s">
        <v>192</v>
      </c>
      <c r="D23" s="485"/>
      <c r="E23" s="485"/>
      <c r="F23" s="485"/>
      <c r="G23" s="485"/>
      <c r="H23" s="485"/>
      <c r="I23" s="485"/>
      <c r="J23" s="344" t="s">
        <v>32</v>
      </c>
      <c r="K23" s="389"/>
      <c r="L23" s="389"/>
      <c r="M23" s="389"/>
      <c r="N23" s="389"/>
      <c r="O23" s="389"/>
      <c r="P23" s="389"/>
      <c r="Q23" s="389"/>
    </row>
    <row r="24" spans="1:17" s="282" customFormat="1" ht="27" customHeight="1" x14ac:dyDescent="0.3">
      <c r="A24" s="342">
        <v>43709</v>
      </c>
      <c r="B24" s="343" t="s">
        <v>172</v>
      </c>
      <c r="C24" s="485" t="s">
        <v>193</v>
      </c>
      <c r="D24" s="485"/>
      <c r="E24" s="485"/>
      <c r="F24" s="485"/>
      <c r="G24" s="485"/>
      <c r="H24" s="485"/>
      <c r="I24" s="485"/>
      <c r="J24" s="344" t="s">
        <v>32</v>
      </c>
      <c r="K24" s="389"/>
      <c r="L24" s="389"/>
      <c r="M24" s="389"/>
      <c r="N24" s="389"/>
      <c r="O24" s="389"/>
      <c r="P24" s="389"/>
      <c r="Q24" s="389"/>
    </row>
    <row r="25" spans="1:17" s="282" customFormat="1" ht="27" customHeight="1" x14ac:dyDescent="0.3">
      <c r="A25" s="342">
        <v>43658</v>
      </c>
      <c r="B25" s="343" t="s">
        <v>172</v>
      </c>
      <c r="C25" s="485" t="s">
        <v>194</v>
      </c>
      <c r="D25" s="485"/>
      <c r="E25" s="485"/>
      <c r="F25" s="485"/>
      <c r="G25" s="485"/>
      <c r="H25" s="485"/>
      <c r="I25" s="485"/>
      <c r="J25" s="345" t="s">
        <v>59</v>
      </c>
      <c r="K25" s="389"/>
      <c r="L25" s="389"/>
      <c r="M25" s="389"/>
      <c r="N25" s="389"/>
      <c r="O25" s="389"/>
      <c r="P25" s="389"/>
      <c r="Q25" s="389"/>
    </row>
    <row r="26" spans="1:17" s="282" customFormat="1" ht="27" customHeight="1" x14ac:dyDescent="0.3">
      <c r="A26" s="342">
        <v>43675</v>
      </c>
      <c r="B26" s="343" t="s">
        <v>172</v>
      </c>
      <c r="C26" s="485" t="s">
        <v>195</v>
      </c>
      <c r="D26" s="485"/>
      <c r="E26" s="485"/>
      <c r="F26" s="485"/>
      <c r="G26" s="485"/>
      <c r="H26" s="485"/>
      <c r="I26" s="485"/>
      <c r="J26" s="345" t="s">
        <v>59</v>
      </c>
      <c r="K26" s="389"/>
      <c r="L26" s="389"/>
      <c r="M26" s="389"/>
      <c r="N26" s="389"/>
      <c r="O26" s="389"/>
      <c r="P26" s="389"/>
      <c r="Q26" s="389"/>
    </row>
    <row r="27" spans="1:17" s="282" customFormat="1" ht="27" customHeight="1" x14ac:dyDescent="0.3">
      <c r="A27" s="342">
        <v>43679</v>
      </c>
      <c r="B27" s="343" t="s">
        <v>172</v>
      </c>
      <c r="C27" s="485" t="s">
        <v>196</v>
      </c>
      <c r="D27" s="485"/>
      <c r="E27" s="485"/>
      <c r="F27" s="485"/>
      <c r="G27" s="485"/>
      <c r="H27" s="485"/>
      <c r="I27" s="485"/>
      <c r="J27" s="345" t="s">
        <v>59</v>
      </c>
      <c r="K27" s="389"/>
      <c r="L27" s="389"/>
      <c r="M27" s="389"/>
      <c r="N27" s="389"/>
      <c r="O27" s="389"/>
      <c r="P27" s="389"/>
      <c r="Q27" s="389"/>
    </row>
    <row r="28" spans="1:17" s="282" customFormat="1" ht="27" customHeight="1" x14ac:dyDescent="0.3">
      <c r="A28" s="342">
        <v>43658</v>
      </c>
      <c r="B28" s="343" t="s">
        <v>172</v>
      </c>
      <c r="C28" s="485" t="s">
        <v>197</v>
      </c>
      <c r="D28" s="485"/>
      <c r="E28" s="485"/>
      <c r="F28" s="485"/>
      <c r="G28" s="485"/>
      <c r="H28" s="485"/>
      <c r="I28" s="485"/>
      <c r="J28" s="345" t="s">
        <v>59</v>
      </c>
      <c r="K28" s="389"/>
      <c r="L28" s="389"/>
      <c r="M28" s="389"/>
      <c r="N28" s="389"/>
      <c r="O28" s="389"/>
      <c r="P28" s="389"/>
      <c r="Q28" s="389"/>
    </row>
    <row r="29" spans="1:17" s="282" customFormat="1" ht="27" customHeight="1" x14ac:dyDescent="0.3">
      <c r="A29" s="342">
        <v>43710</v>
      </c>
      <c r="B29" s="343" t="s">
        <v>172</v>
      </c>
      <c r="C29" s="485" t="s">
        <v>198</v>
      </c>
      <c r="D29" s="485"/>
      <c r="E29" s="485"/>
      <c r="F29" s="485"/>
      <c r="G29" s="485"/>
      <c r="H29" s="485"/>
      <c r="I29" s="485"/>
      <c r="J29" s="344" t="s">
        <v>32</v>
      </c>
      <c r="K29" s="389"/>
      <c r="L29" s="389"/>
      <c r="M29" s="389"/>
      <c r="N29" s="389"/>
      <c r="O29" s="389"/>
      <c r="P29" s="389"/>
      <c r="Q29" s="389"/>
    </row>
    <row r="30" spans="1:17" s="282" customFormat="1" ht="27" customHeight="1" thickBot="1" x14ac:dyDescent="0.35">
      <c r="A30" s="348">
        <v>43709</v>
      </c>
      <c r="B30" s="349" t="s">
        <v>172</v>
      </c>
      <c r="C30" s="480" t="s">
        <v>199</v>
      </c>
      <c r="D30" s="480"/>
      <c r="E30" s="480"/>
      <c r="F30" s="480"/>
      <c r="G30" s="480"/>
      <c r="H30" s="480"/>
      <c r="I30" s="480"/>
      <c r="J30" s="352" t="s">
        <v>32</v>
      </c>
      <c r="K30" s="391"/>
      <c r="L30" s="391"/>
      <c r="M30" s="391"/>
      <c r="N30" s="391"/>
      <c r="O30" s="391"/>
      <c r="P30" s="391"/>
      <c r="Q30" s="391"/>
    </row>
    <row r="31" spans="1:17" s="282" customFormat="1" x14ac:dyDescent="0.3"/>
    <row r="32" spans="1:17" s="282" customFormat="1" x14ac:dyDescent="0.3"/>
    <row r="33" spans="1:57" ht="16.2" thickBot="1" x14ac:dyDescent="0.35">
      <c r="A33" s="450" t="s">
        <v>42</v>
      </c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  <c r="Q33" s="450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2"/>
      <c r="AH33" s="282"/>
      <c r="AI33" s="282"/>
      <c r="AJ33" s="282"/>
      <c r="AK33" s="282"/>
      <c r="AL33" s="282"/>
      <c r="AM33" s="282"/>
      <c r="AN33" s="282"/>
      <c r="AO33" s="282"/>
      <c r="AP33" s="282"/>
      <c r="AQ33" s="282"/>
      <c r="AR33" s="282"/>
      <c r="AS33" s="282"/>
      <c r="AT33" s="282"/>
      <c r="AU33" s="282"/>
      <c r="AV33" s="282"/>
      <c r="AW33" s="282"/>
      <c r="AX33" s="282"/>
      <c r="AY33" s="282"/>
      <c r="AZ33" s="282"/>
      <c r="BA33" s="282"/>
      <c r="BB33" s="282"/>
      <c r="BC33" s="282"/>
      <c r="BD33" s="282"/>
      <c r="BE33" s="282"/>
    </row>
    <row r="34" spans="1:57" ht="14.4" customHeight="1" x14ac:dyDescent="0.3">
      <c r="A34" s="336" t="s">
        <v>43</v>
      </c>
      <c r="B34" s="337" t="s">
        <v>27</v>
      </c>
      <c r="C34" s="452" t="s">
        <v>28</v>
      </c>
      <c r="D34" s="452"/>
      <c r="E34" s="452"/>
      <c r="F34" s="452"/>
      <c r="G34" s="452"/>
      <c r="H34" s="452"/>
      <c r="I34" s="452"/>
      <c r="J34" s="338" t="s">
        <v>29</v>
      </c>
      <c r="K34" s="452" t="s">
        <v>30</v>
      </c>
      <c r="L34" s="452"/>
      <c r="M34" s="452"/>
      <c r="N34" s="452"/>
      <c r="O34" s="452"/>
      <c r="P34" s="452"/>
      <c r="Q34" s="453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2"/>
      <c r="AH34" s="282"/>
      <c r="AI34" s="282"/>
      <c r="AJ34" s="282"/>
      <c r="AK34" s="282"/>
      <c r="AL34" s="282"/>
      <c r="AM34" s="282"/>
      <c r="AN34" s="282"/>
      <c r="AO34" s="282"/>
      <c r="AP34" s="282"/>
      <c r="AQ34" s="282"/>
      <c r="AR34" s="282"/>
      <c r="AS34" s="282"/>
      <c r="AT34" s="282"/>
      <c r="AU34" s="282"/>
      <c r="AV34" s="282"/>
      <c r="AW34" s="282"/>
      <c r="AX34" s="282"/>
      <c r="AY34" s="282"/>
      <c r="AZ34" s="282"/>
      <c r="BA34" s="282"/>
      <c r="BB34" s="282"/>
      <c r="BC34" s="282"/>
      <c r="BD34" s="282"/>
      <c r="BE34" s="282"/>
    </row>
    <row r="35" spans="1:57" s="282" customFormat="1" x14ac:dyDescent="0.3">
      <c r="A35" s="476">
        <v>43696</v>
      </c>
      <c r="B35" s="340" t="s">
        <v>172</v>
      </c>
      <c r="C35" s="475" t="s">
        <v>200</v>
      </c>
      <c r="D35" s="475"/>
      <c r="E35" s="475"/>
      <c r="F35" s="475"/>
      <c r="G35" s="475"/>
      <c r="H35" s="475"/>
      <c r="I35" s="475"/>
      <c r="J35" s="308"/>
      <c r="K35" s="308"/>
      <c r="L35" s="308"/>
      <c r="M35" s="308"/>
      <c r="N35" s="308"/>
      <c r="O35" s="308"/>
      <c r="P35" s="308"/>
      <c r="Q35" s="308"/>
    </row>
    <row r="36" spans="1:57" s="282" customFormat="1" x14ac:dyDescent="0.3">
      <c r="A36" s="477"/>
      <c r="B36" s="343" t="s">
        <v>172</v>
      </c>
      <c r="C36" s="479" t="s">
        <v>201</v>
      </c>
      <c r="D36" s="479"/>
      <c r="E36" s="479"/>
      <c r="F36" s="479"/>
      <c r="G36" s="479"/>
      <c r="H36" s="479"/>
      <c r="I36" s="479"/>
      <c r="J36" s="309"/>
      <c r="K36" s="309"/>
      <c r="L36" s="309"/>
      <c r="M36" s="309"/>
      <c r="N36" s="309"/>
      <c r="O36" s="309"/>
      <c r="P36" s="309"/>
      <c r="Q36" s="309"/>
    </row>
    <row r="37" spans="1:57" s="282" customFormat="1" x14ac:dyDescent="0.3">
      <c r="A37" s="477"/>
      <c r="B37" s="343" t="s">
        <v>172</v>
      </c>
      <c r="C37" s="479" t="s">
        <v>202</v>
      </c>
      <c r="D37" s="479"/>
      <c r="E37" s="479"/>
      <c r="F37" s="479"/>
      <c r="G37" s="479"/>
      <c r="H37" s="479"/>
      <c r="I37" s="479"/>
      <c r="J37" s="309"/>
      <c r="K37" s="309"/>
      <c r="L37" s="309"/>
      <c r="M37" s="309"/>
      <c r="N37" s="309"/>
      <c r="O37" s="309"/>
      <c r="P37" s="309"/>
      <c r="Q37" s="309"/>
    </row>
    <row r="38" spans="1:57" s="282" customFormat="1" x14ac:dyDescent="0.3">
      <c r="A38" s="477"/>
      <c r="B38" s="343" t="s">
        <v>172</v>
      </c>
      <c r="C38" s="479" t="s">
        <v>203</v>
      </c>
      <c r="D38" s="479"/>
      <c r="E38" s="479"/>
      <c r="F38" s="479"/>
      <c r="G38" s="479"/>
      <c r="H38" s="479"/>
      <c r="I38" s="479"/>
      <c r="J38" s="309"/>
      <c r="K38" s="309"/>
      <c r="L38" s="309"/>
      <c r="M38" s="309"/>
      <c r="N38" s="309"/>
      <c r="O38" s="309"/>
      <c r="P38" s="309"/>
      <c r="Q38" s="309"/>
    </row>
    <row r="39" spans="1:57" s="282" customFormat="1" ht="15" thickBot="1" x14ac:dyDescent="0.35">
      <c r="A39" s="478"/>
      <c r="B39" s="349" t="s">
        <v>172</v>
      </c>
      <c r="C39" s="474" t="s">
        <v>204</v>
      </c>
      <c r="D39" s="474"/>
      <c r="E39" s="474"/>
      <c r="F39" s="474"/>
      <c r="G39" s="474"/>
      <c r="H39" s="474"/>
      <c r="I39" s="474"/>
      <c r="J39" s="310"/>
      <c r="K39" s="310"/>
      <c r="L39" s="310"/>
      <c r="M39" s="310"/>
      <c r="N39" s="310"/>
      <c r="O39" s="310"/>
      <c r="P39" s="310"/>
      <c r="Q39" s="310"/>
    </row>
    <row r="40" spans="1:57" ht="27" customHeight="1" x14ac:dyDescent="0.3">
      <c r="A40" s="400">
        <v>43689</v>
      </c>
      <c r="B40" s="343" t="s">
        <v>23</v>
      </c>
      <c r="C40" s="430" t="s">
        <v>89</v>
      </c>
      <c r="D40" s="430"/>
      <c r="E40" s="430"/>
      <c r="F40" s="430"/>
      <c r="G40" s="430"/>
      <c r="H40" s="430"/>
      <c r="I40" s="430"/>
      <c r="J40" s="344"/>
      <c r="K40" s="429"/>
      <c r="L40" s="429"/>
      <c r="M40" s="429"/>
      <c r="N40" s="429"/>
      <c r="O40" s="429"/>
      <c r="P40" s="429"/>
      <c r="Q40" s="429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  <c r="AO40" s="282"/>
      <c r="AP40" s="282"/>
      <c r="AQ40" s="282"/>
      <c r="AR40" s="282"/>
      <c r="AS40" s="282"/>
      <c r="AT40" s="282"/>
      <c r="AU40" s="282"/>
      <c r="AV40" s="282"/>
      <c r="AW40" s="282"/>
      <c r="AX40" s="282"/>
      <c r="AY40" s="282"/>
      <c r="AZ40" s="282"/>
      <c r="BA40" s="282"/>
      <c r="BB40" s="282"/>
      <c r="BC40" s="282"/>
      <c r="BD40" s="282"/>
      <c r="BE40" s="282"/>
    </row>
    <row r="41" spans="1:57" s="282" customFormat="1" x14ac:dyDescent="0.3">
      <c r="A41" s="283"/>
      <c r="B41" s="283"/>
      <c r="C41" s="398"/>
      <c r="D41" s="398"/>
      <c r="E41" s="398"/>
      <c r="F41" s="398"/>
      <c r="G41" s="398"/>
      <c r="H41" s="398"/>
      <c r="I41" s="398"/>
      <c r="J41" s="283"/>
      <c r="K41" s="283"/>
      <c r="L41" s="283"/>
      <c r="M41" s="283"/>
      <c r="N41" s="283"/>
      <c r="O41" s="283"/>
      <c r="P41" s="283"/>
      <c r="Q41" s="283"/>
    </row>
    <row r="42" spans="1:57" s="282" customFormat="1" x14ac:dyDescent="0.3">
      <c r="A42" s="347"/>
      <c r="B42" s="347"/>
      <c r="C42" s="364"/>
      <c r="D42" s="364"/>
      <c r="E42" s="364"/>
      <c r="F42" s="364"/>
      <c r="G42" s="364"/>
      <c r="H42" s="364"/>
      <c r="I42" s="364"/>
      <c r="J42" s="347"/>
      <c r="K42" s="347"/>
      <c r="L42" s="347"/>
      <c r="M42" s="347"/>
      <c r="N42" s="347"/>
      <c r="O42" s="347"/>
      <c r="P42" s="347"/>
      <c r="Q42" s="347"/>
    </row>
    <row r="43" spans="1:57" s="283" customFormat="1" x14ac:dyDescent="0.3">
      <c r="C43" s="392"/>
      <c r="D43" s="392"/>
      <c r="E43" s="392"/>
      <c r="F43" s="392"/>
      <c r="G43" s="392"/>
      <c r="H43" s="392"/>
      <c r="I43" s="392"/>
    </row>
    <row r="44" spans="1:57" s="283" customFormat="1" x14ac:dyDescent="0.3">
      <c r="C44" s="392"/>
      <c r="D44" s="392"/>
      <c r="E44" s="392"/>
      <c r="F44" s="392"/>
      <c r="G44" s="392"/>
      <c r="H44" s="392"/>
      <c r="I44" s="392"/>
    </row>
    <row r="45" spans="1:57" s="283" customFormat="1" x14ac:dyDescent="0.3">
      <c r="C45" s="392"/>
      <c r="D45" s="392"/>
      <c r="E45" s="392"/>
      <c r="F45" s="392"/>
      <c r="G45" s="392"/>
      <c r="H45" s="392"/>
      <c r="I45" s="392"/>
    </row>
    <row r="46" spans="1:57" s="282" customFormat="1" x14ac:dyDescent="0.3">
      <c r="A46" s="283"/>
      <c r="B46" s="283"/>
      <c r="C46" s="470"/>
      <c r="D46" s="470"/>
      <c r="E46" s="470"/>
      <c r="F46" s="470"/>
      <c r="G46" s="470"/>
      <c r="H46" s="470"/>
      <c r="I46" s="470"/>
      <c r="J46" s="283"/>
      <c r="K46" s="283"/>
      <c r="L46" s="283"/>
      <c r="M46" s="283"/>
      <c r="N46" s="283"/>
      <c r="O46" s="283"/>
      <c r="P46" s="283"/>
      <c r="Q46" s="283"/>
    </row>
    <row r="47" spans="1:57" s="282" customFormat="1" x14ac:dyDescent="0.3">
      <c r="C47" s="470"/>
      <c r="D47" s="470"/>
      <c r="E47" s="470"/>
      <c r="F47" s="470"/>
      <c r="G47" s="470"/>
      <c r="H47" s="470"/>
      <c r="I47" s="470"/>
    </row>
    <row r="48" spans="1:57" s="282" customFormat="1" x14ac:dyDescent="0.3">
      <c r="C48" s="470"/>
      <c r="D48" s="470"/>
      <c r="E48" s="470"/>
      <c r="F48" s="470"/>
      <c r="G48" s="470"/>
      <c r="H48" s="470"/>
      <c r="I48" s="470"/>
    </row>
    <row r="49" spans="3:9" s="282" customFormat="1" x14ac:dyDescent="0.3">
      <c r="C49" s="470"/>
      <c r="D49" s="470"/>
      <c r="E49" s="470"/>
      <c r="F49" s="470"/>
      <c r="G49" s="470"/>
      <c r="H49" s="470"/>
      <c r="I49" s="470"/>
    </row>
    <row r="50" spans="3:9" s="282" customFormat="1" x14ac:dyDescent="0.3">
      <c r="C50" s="470"/>
      <c r="D50" s="470"/>
      <c r="E50" s="470"/>
      <c r="F50" s="470"/>
      <c r="G50" s="470"/>
      <c r="H50" s="470"/>
      <c r="I50" s="470"/>
    </row>
    <row r="51" spans="3:9" s="282" customFormat="1" x14ac:dyDescent="0.3">
      <c r="C51" s="470"/>
      <c r="D51" s="470"/>
      <c r="E51" s="470"/>
      <c r="F51" s="470"/>
      <c r="G51" s="470"/>
      <c r="H51" s="470"/>
      <c r="I51" s="470"/>
    </row>
    <row r="52" spans="3:9" s="282" customFormat="1" x14ac:dyDescent="0.3">
      <c r="C52" s="470"/>
      <c r="D52" s="470"/>
      <c r="E52" s="470"/>
      <c r="F52" s="470"/>
      <c r="G52" s="470"/>
      <c r="H52" s="470"/>
      <c r="I52" s="470"/>
    </row>
    <row r="53" spans="3:9" s="282" customFormat="1" x14ac:dyDescent="0.3">
      <c r="C53" s="470"/>
      <c r="D53" s="470"/>
      <c r="E53" s="470"/>
      <c r="F53" s="470"/>
      <c r="G53" s="470"/>
      <c r="H53" s="470"/>
      <c r="I53" s="470"/>
    </row>
    <row r="54" spans="3:9" s="282" customFormat="1" x14ac:dyDescent="0.3">
      <c r="C54" s="470"/>
      <c r="D54" s="470"/>
      <c r="E54" s="470"/>
      <c r="F54" s="470"/>
      <c r="G54" s="470"/>
      <c r="H54" s="470"/>
      <c r="I54" s="470"/>
    </row>
    <row r="55" spans="3:9" s="282" customFormat="1" x14ac:dyDescent="0.3">
      <c r="C55" s="470"/>
      <c r="D55" s="470"/>
      <c r="E55" s="470"/>
      <c r="F55" s="470"/>
      <c r="G55" s="470"/>
      <c r="H55" s="470"/>
      <c r="I55" s="470"/>
    </row>
    <row r="56" spans="3:9" s="282" customFormat="1" x14ac:dyDescent="0.3">
      <c r="C56" s="470"/>
      <c r="D56" s="470"/>
      <c r="E56" s="470"/>
      <c r="F56" s="470"/>
      <c r="G56" s="470"/>
      <c r="H56" s="470"/>
      <c r="I56" s="470"/>
    </row>
    <row r="57" spans="3:9" s="282" customFormat="1" x14ac:dyDescent="0.3">
      <c r="C57" s="470"/>
      <c r="D57" s="470"/>
      <c r="E57" s="470"/>
      <c r="F57" s="470"/>
      <c r="G57" s="470"/>
      <c r="H57" s="470"/>
      <c r="I57" s="470"/>
    </row>
    <row r="58" spans="3:9" s="282" customFormat="1" x14ac:dyDescent="0.3">
      <c r="C58" s="470"/>
      <c r="D58" s="470"/>
      <c r="E58" s="470"/>
      <c r="F58" s="470"/>
      <c r="G58" s="470"/>
      <c r="H58" s="470"/>
      <c r="I58" s="470"/>
    </row>
    <row r="59" spans="3:9" s="282" customFormat="1" x14ac:dyDescent="0.3"/>
    <row r="60" spans="3:9" s="282" customFormat="1" x14ac:dyDescent="0.3"/>
  </sheetData>
  <mergeCells count="63">
    <mergeCell ref="K40:Q40"/>
    <mergeCell ref="N1:P1"/>
    <mergeCell ref="A3:B5"/>
    <mergeCell ref="E1:G1"/>
    <mergeCell ref="H1:J1"/>
    <mergeCell ref="K1:M1"/>
    <mergeCell ref="A1:B2"/>
    <mergeCell ref="C1:C2"/>
    <mergeCell ref="C12:I12"/>
    <mergeCell ref="C13:I13"/>
    <mergeCell ref="C14:I14"/>
    <mergeCell ref="C15:I15"/>
    <mergeCell ref="A8:Q8"/>
    <mergeCell ref="C9:I9"/>
    <mergeCell ref="C10:I10"/>
    <mergeCell ref="C11:I11"/>
    <mergeCell ref="K12:Q12"/>
    <mergeCell ref="K9:Q9"/>
    <mergeCell ref="K11:Q11"/>
    <mergeCell ref="C24:I24"/>
    <mergeCell ref="C25:I25"/>
    <mergeCell ref="C16:I16"/>
    <mergeCell ref="C17:I17"/>
    <mergeCell ref="C18:I18"/>
    <mergeCell ref="C19:I19"/>
    <mergeCell ref="C20:I20"/>
    <mergeCell ref="K18:Q18"/>
    <mergeCell ref="K16:Q16"/>
    <mergeCell ref="K14:Q14"/>
    <mergeCell ref="K13:Q13"/>
    <mergeCell ref="K15:Q15"/>
    <mergeCell ref="K20:Q20"/>
    <mergeCell ref="C35:I35"/>
    <mergeCell ref="C36:I36"/>
    <mergeCell ref="C37:I37"/>
    <mergeCell ref="C38:I38"/>
    <mergeCell ref="C30:I30"/>
    <mergeCell ref="A33:Q33"/>
    <mergeCell ref="C34:I34"/>
    <mergeCell ref="K34:Q34"/>
    <mergeCell ref="A35:A39"/>
    <mergeCell ref="C39:I39"/>
    <mergeCell ref="C26:I26"/>
    <mergeCell ref="C27:I27"/>
    <mergeCell ref="C28:I28"/>
    <mergeCell ref="C29:I29"/>
    <mergeCell ref="C21:I21"/>
    <mergeCell ref="C22:I22"/>
    <mergeCell ref="C23:I23"/>
    <mergeCell ref="C40:I40"/>
    <mergeCell ref="C46:I46"/>
    <mergeCell ref="C47:I47"/>
    <mergeCell ref="C48:I48"/>
    <mergeCell ref="C58:I58"/>
    <mergeCell ref="C49:I49"/>
    <mergeCell ref="C50:I50"/>
    <mergeCell ref="C51:I51"/>
    <mergeCell ref="C52:I52"/>
    <mergeCell ref="C53:I53"/>
    <mergeCell ref="C54:I54"/>
    <mergeCell ref="C55:I55"/>
    <mergeCell ref="C56:I56"/>
    <mergeCell ref="C57:I57"/>
  </mergeCells>
  <conditionalFormatting sqref="J1:J2 J5 J10:J30">
    <cfRule type="containsText" dxfId="24" priority="15" operator="containsText" text="Дополнительно">
      <formula>NOT(ISERROR(SEARCH("Дополнительно",J1)))</formula>
    </cfRule>
    <cfRule type="expression" dxfId="23" priority="16">
      <formula>OR($J1 = "Готово", $J1 ="Не Делаем")</formula>
    </cfRule>
  </conditionalFormatting>
  <conditionalFormatting sqref="J8:J9">
    <cfRule type="expression" dxfId="22" priority="13">
      <formula>$J8 = "Перенос"</formula>
    </cfRule>
    <cfRule type="expression" dxfId="21" priority="14">
      <formula>OR($J8 = "Готово", $J8 ="Не Делаем")</formula>
    </cfRule>
  </conditionalFormatting>
  <conditionalFormatting sqref="J8:J9">
    <cfRule type="containsText" dxfId="20" priority="11" operator="containsText" text="Дополнительно">
      <formula>NOT(ISERROR(SEARCH("Дополнительно",J8)))</formula>
    </cfRule>
    <cfRule type="expression" dxfId="19" priority="12">
      <formula>OR($J8 = "Готово", $J8 ="Не Делаем")</formula>
    </cfRule>
  </conditionalFormatting>
  <conditionalFormatting sqref="J13">
    <cfRule type="expression" dxfId="18" priority="9">
      <formula>OR($J13 = "Готово", $J13 ="Не Делаем")</formula>
    </cfRule>
  </conditionalFormatting>
  <conditionalFormatting sqref="J14:J16">
    <cfRule type="expression" dxfId="17" priority="8">
      <formula>OR($J14 = "Готово", $J14 ="Не Делаем")</formula>
    </cfRule>
  </conditionalFormatting>
  <conditionalFormatting sqref="J33:J34">
    <cfRule type="expression" dxfId="16" priority="5">
      <formula>$J33 = "Перенос"</formula>
    </cfRule>
    <cfRule type="expression" dxfId="15" priority="6">
      <formula>OR($J33 = "Готово", $J33 ="Не Делаем")</formula>
    </cfRule>
  </conditionalFormatting>
  <conditionalFormatting sqref="J33:J34">
    <cfRule type="containsText" dxfId="14" priority="3" operator="containsText" text="Дополнительно">
      <formula>NOT(ISERROR(SEARCH("Дополнительно",J33)))</formula>
    </cfRule>
    <cfRule type="expression" dxfId="13" priority="4">
      <formula>OR($J33 = "Готово", $J33 ="Не Делаем")</formula>
    </cfRule>
  </conditionalFormatting>
  <conditionalFormatting sqref="J40">
    <cfRule type="containsText" dxfId="12" priority="1" operator="containsText" text="Дополнительно">
      <formula>NOT(ISERROR(SEARCH("Дополнительно",J40)))</formula>
    </cfRule>
    <cfRule type="expression" dxfId="11" priority="2">
      <formula>OR($J40 = "Готово", $J40 ="Не Делаем")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2D687-C4C6-4638-907D-CE78D2EBE8E1}">
  <sheetPr codeName="Лист7"/>
  <dimension ref="A1:BE212"/>
  <sheetViews>
    <sheetView workbookViewId="0">
      <selection sqref="A1:B2"/>
    </sheetView>
  </sheetViews>
  <sheetFormatPr defaultRowHeight="14.4" x14ac:dyDescent="0.3"/>
  <cols>
    <col min="1" max="1" width="10.109375" bestFit="1" customWidth="1"/>
    <col min="2" max="2" width="16" customWidth="1"/>
    <col min="3" max="3" width="32.44140625" style="1" customWidth="1"/>
    <col min="4" max="4" width="12.44140625" customWidth="1"/>
    <col min="5" max="5" width="10.33203125" bestFit="1" customWidth="1"/>
    <col min="7" max="7" width="7.33203125" customWidth="1"/>
    <col min="8" max="8" width="10.33203125" bestFit="1" customWidth="1"/>
    <col min="10" max="10" width="11" customWidth="1"/>
    <col min="11" max="11" width="10.33203125" bestFit="1" customWidth="1"/>
    <col min="14" max="14" width="10.33203125" bestFit="1" customWidth="1"/>
    <col min="18" max="57" width="8.88671875" style="282"/>
  </cols>
  <sheetData>
    <row r="1" spans="1:17" s="282" customFormat="1" x14ac:dyDescent="0.3">
      <c r="A1" s="273"/>
      <c r="B1" s="293"/>
      <c r="C1" s="6"/>
      <c r="D1" s="294"/>
      <c r="E1" s="284"/>
      <c r="F1" s="285"/>
      <c r="G1" s="295"/>
      <c r="H1" s="284"/>
      <c r="I1" s="285"/>
      <c r="J1" s="295"/>
      <c r="K1" s="284"/>
      <c r="L1" s="285"/>
      <c r="M1" s="295"/>
      <c r="N1" s="280"/>
    </row>
    <row r="2" spans="1:17" s="282" customFormat="1" ht="16.2" thickBot="1" x14ac:dyDescent="0.35">
      <c r="A2" s="451" t="s">
        <v>25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</row>
    <row r="3" spans="1:17" s="282" customFormat="1" ht="15" thickBot="1" x14ac:dyDescent="0.35">
      <c r="A3" s="291" t="s">
        <v>26</v>
      </c>
      <c r="B3" s="290" t="s">
        <v>27</v>
      </c>
      <c r="C3" s="434" t="s">
        <v>28</v>
      </c>
      <c r="D3" s="434"/>
      <c r="E3" s="434"/>
      <c r="F3" s="434"/>
      <c r="G3" s="434"/>
      <c r="H3" s="434"/>
      <c r="I3" s="434"/>
      <c r="J3" s="306" t="s">
        <v>29</v>
      </c>
      <c r="K3" s="434" t="s">
        <v>30</v>
      </c>
      <c r="L3" s="434"/>
      <c r="M3" s="434"/>
      <c r="N3" s="434"/>
      <c r="O3" s="434"/>
      <c r="P3" s="434"/>
      <c r="Q3" s="435"/>
    </row>
    <row r="4" spans="1:17" s="282" customFormat="1" ht="27" customHeight="1" x14ac:dyDescent="0.3">
      <c r="A4" s="342">
        <v>43738</v>
      </c>
      <c r="B4" s="340" t="s">
        <v>205</v>
      </c>
      <c r="C4" s="454" t="s">
        <v>206</v>
      </c>
      <c r="D4" s="454"/>
      <c r="E4" s="454"/>
      <c r="F4" s="454"/>
      <c r="G4" s="454"/>
      <c r="H4" s="454"/>
      <c r="I4" s="454"/>
      <c r="J4" s="353" t="s">
        <v>32</v>
      </c>
      <c r="K4" s="456"/>
      <c r="L4" s="456"/>
      <c r="M4" s="456"/>
      <c r="N4" s="456"/>
      <c r="O4" s="456"/>
      <c r="P4" s="456"/>
      <c r="Q4" s="456"/>
    </row>
    <row r="5" spans="1:17" s="282" customFormat="1" ht="27" customHeight="1" x14ac:dyDescent="0.3">
      <c r="A5" s="342">
        <v>43708</v>
      </c>
      <c r="B5" s="340" t="s">
        <v>205</v>
      </c>
      <c r="C5" s="430" t="s">
        <v>207</v>
      </c>
      <c r="D5" s="430"/>
      <c r="E5" s="430"/>
      <c r="F5" s="430"/>
      <c r="G5" s="430"/>
      <c r="H5" s="430"/>
      <c r="I5" s="430"/>
      <c r="J5" s="353" t="s">
        <v>32</v>
      </c>
      <c r="K5" s="429"/>
      <c r="L5" s="429"/>
      <c r="M5" s="429"/>
      <c r="N5" s="429"/>
      <c r="O5" s="429"/>
      <c r="P5" s="429"/>
      <c r="Q5" s="429"/>
    </row>
    <row r="6" spans="1:17" s="282" customFormat="1" ht="27" customHeight="1" x14ac:dyDescent="0.3">
      <c r="A6" s="342">
        <v>43738</v>
      </c>
      <c r="B6" s="340" t="s">
        <v>205</v>
      </c>
      <c r="C6" s="430" t="s">
        <v>208</v>
      </c>
      <c r="D6" s="430"/>
      <c r="E6" s="430"/>
      <c r="F6" s="430"/>
      <c r="G6" s="430"/>
      <c r="H6" s="430"/>
      <c r="I6" s="430"/>
      <c r="J6" s="353" t="s">
        <v>32</v>
      </c>
      <c r="K6" s="429"/>
      <c r="L6" s="429"/>
      <c r="M6" s="429"/>
      <c r="N6" s="429"/>
      <c r="O6" s="429"/>
      <c r="P6" s="429"/>
      <c r="Q6" s="429"/>
    </row>
    <row r="7" spans="1:17" s="282" customFormat="1" ht="27" customHeight="1" x14ac:dyDescent="0.3">
      <c r="A7" s="342">
        <v>43718</v>
      </c>
      <c r="B7" s="340" t="s">
        <v>205</v>
      </c>
      <c r="C7" s="430" t="s">
        <v>209</v>
      </c>
      <c r="D7" s="430"/>
      <c r="E7" s="430"/>
      <c r="F7" s="430"/>
      <c r="G7" s="430"/>
      <c r="H7" s="430"/>
      <c r="I7" s="430"/>
      <c r="J7" s="353" t="s">
        <v>32</v>
      </c>
      <c r="K7" s="429"/>
      <c r="L7" s="429"/>
      <c r="M7" s="429"/>
      <c r="N7" s="429"/>
      <c r="O7" s="429"/>
      <c r="P7" s="429"/>
      <c r="Q7" s="429"/>
    </row>
    <row r="8" spans="1:17" s="282" customFormat="1" ht="27" customHeight="1" x14ac:dyDescent="0.3">
      <c r="A8" s="342">
        <v>43696</v>
      </c>
      <c r="B8" s="340" t="s">
        <v>205</v>
      </c>
      <c r="C8" s="430" t="s">
        <v>210</v>
      </c>
      <c r="D8" s="430"/>
      <c r="E8" s="430"/>
      <c r="F8" s="430"/>
      <c r="G8" s="430"/>
      <c r="H8" s="430"/>
      <c r="I8" s="430"/>
      <c r="J8" s="353" t="s">
        <v>32</v>
      </c>
      <c r="K8" s="429"/>
      <c r="L8" s="429"/>
      <c r="M8" s="429"/>
      <c r="N8" s="429"/>
      <c r="O8" s="429"/>
      <c r="P8" s="429"/>
      <c r="Q8" s="429"/>
    </row>
    <row r="9" spans="1:17" s="282" customFormat="1" ht="27" customHeight="1" x14ac:dyDescent="0.3">
      <c r="A9" s="342">
        <v>43733</v>
      </c>
      <c r="B9" s="340" t="s">
        <v>205</v>
      </c>
      <c r="C9" s="430" t="s">
        <v>211</v>
      </c>
      <c r="D9" s="430"/>
      <c r="E9" s="430"/>
      <c r="F9" s="430"/>
      <c r="G9" s="430"/>
      <c r="H9" s="430"/>
      <c r="I9" s="430"/>
      <c r="J9" s="353" t="s">
        <v>32</v>
      </c>
      <c r="K9" s="429"/>
      <c r="L9" s="429"/>
      <c r="M9" s="429"/>
      <c r="N9" s="429"/>
      <c r="O9" s="429"/>
      <c r="P9" s="429"/>
      <c r="Q9" s="429"/>
    </row>
    <row r="10" spans="1:17" s="282" customFormat="1" ht="27" customHeight="1" x14ac:dyDescent="0.3">
      <c r="A10" s="342">
        <v>43718</v>
      </c>
      <c r="B10" s="340" t="s">
        <v>205</v>
      </c>
      <c r="C10" s="430" t="s">
        <v>212</v>
      </c>
      <c r="D10" s="430"/>
      <c r="E10" s="430"/>
      <c r="F10" s="430"/>
      <c r="G10" s="430"/>
      <c r="H10" s="430"/>
      <c r="I10" s="430"/>
      <c r="J10" s="353" t="s">
        <v>32</v>
      </c>
      <c r="K10" s="429"/>
      <c r="L10" s="429"/>
      <c r="M10" s="429"/>
      <c r="N10" s="429"/>
      <c r="O10" s="429"/>
      <c r="P10" s="429"/>
      <c r="Q10" s="429"/>
    </row>
    <row r="11" spans="1:17" s="282" customFormat="1" ht="27" customHeight="1" x14ac:dyDescent="0.3">
      <c r="A11" s="342">
        <v>43724</v>
      </c>
      <c r="B11" s="340" t="s">
        <v>205</v>
      </c>
      <c r="C11" s="430" t="s">
        <v>213</v>
      </c>
      <c r="D11" s="430"/>
      <c r="E11" s="430"/>
      <c r="F11" s="430"/>
      <c r="G11" s="430"/>
      <c r="H11" s="430"/>
      <c r="I11" s="430"/>
      <c r="J11" s="353" t="s">
        <v>32</v>
      </c>
      <c r="K11" s="429"/>
      <c r="L11" s="429"/>
      <c r="M11" s="429"/>
      <c r="N11" s="429"/>
      <c r="O11" s="429"/>
      <c r="P11" s="429"/>
      <c r="Q11" s="429"/>
    </row>
    <row r="12" spans="1:17" s="282" customFormat="1" ht="27" customHeight="1" x14ac:dyDescent="0.3">
      <c r="A12" s="342">
        <v>43708</v>
      </c>
      <c r="B12" s="340" t="s">
        <v>205</v>
      </c>
      <c r="C12" s="430" t="s">
        <v>214</v>
      </c>
      <c r="D12" s="430"/>
      <c r="E12" s="430"/>
      <c r="F12" s="430"/>
      <c r="G12" s="430"/>
      <c r="H12" s="430"/>
      <c r="I12" s="430"/>
      <c r="J12" s="353" t="s">
        <v>32</v>
      </c>
      <c r="K12" s="429"/>
      <c r="L12" s="429"/>
      <c r="M12" s="429"/>
      <c r="N12" s="429"/>
      <c r="O12" s="429"/>
      <c r="P12" s="429"/>
      <c r="Q12" s="429"/>
    </row>
    <row r="13" spans="1:17" s="282" customFormat="1" ht="27" customHeight="1" x14ac:dyDescent="0.3">
      <c r="A13" s="342">
        <v>43738</v>
      </c>
      <c r="B13" s="340" t="s">
        <v>205</v>
      </c>
      <c r="C13" s="430" t="s">
        <v>215</v>
      </c>
      <c r="D13" s="430"/>
      <c r="E13" s="430"/>
      <c r="F13" s="430"/>
      <c r="G13" s="430"/>
      <c r="H13" s="430"/>
      <c r="I13" s="430"/>
      <c r="J13" s="353" t="s">
        <v>32</v>
      </c>
      <c r="K13" s="429"/>
      <c r="L13" s="429"/>
      <c r="M13" s="429"/>
      <c r="N13" s="429"/>
      <c r="O13" s="429"/>
      <c r="P13" s="429"/>
      <c r="Q13" s="429"/>
    </row>
    <row r="14" spans="1:17" s="282" customFormat="1" ht="27" customHeight="1" x14ac:dyDescent="0.3">
      <c r="A14" s="342">
        <v>43738</v>
      </c>
      <c r="B14" s="340" t="s">
        <v>205</v>
      </c>
      <c r="C14" s="430" t="s">
        <v>216</v>
      </c>
      <c r="D14" s="430"/>
      <c r="E14" s="430"/>
      <c r="F14" s="430"/>
      <c r="G14" s="430"/>
      <c r="H14" s="430"/>
      <c r="I14" s="430"/>
      <c r="J14" s="353" t="s">
        <v>32</v>
      </c>
      <c r="K14" s="429"/>
      <c r="L14" s="429"/>
      <c r="M14" s="429"/>
      <c r="N14" s="429"/>
      <c r="O14" s="429"/>
      <c r="P14" s="429"/>
      <c r="Q14" s="429"/>
    </row>
    <row r="15" spans="1:17" s="282" customFormat="1" ht="27" customHeight="1" x14ac:dyDescent="0.3">
      <c r="A15" s="342">
        <v>43738</v>
      </c>
      <c r="B15" s="340" t="s">
        <v>205</v>
      </c>
      <c r="C15" s="430" t="s">
        <v>217</v>
      </c>
      <c r="D15" s="430"/>
      <c r="E15" s="430"/>
      <c r="F15" s="430"/>
      <c r="G15" s="430"/>
      <c r="H15" s="430"/>
      <c r="I15" s="430"/>
      <c r="J15" s="353" t="s">
        <v>32</v>
      </c>
      <c r="K15" s="429"/>
      <c r="L15" s="429"/>
      <c r="M15" s="429"/>
      <c r="N15" s="429"/>
      <c r="O15" s="429"/>
      <c r="P15" s="429"/>
      <c r="Q15" s="429"/>
    </row>
    <row r="16" spans="1:17" s="282" customFormat="1" ht="27" customHeight="1" x14ac:dyDescent="0.3">
      <c r="A16" s="342">
        <v>43738</v>
      </c>
      <c r="B16" s="340" t="s">
        <v>218</v>
      </c>
      <c r="C16" s="457" t="s">
        <v>219</v>
      </c>
      <c r="D16" s="457"/>
      <c r="E16" s="457"/>
      <c r="F16" s="457"/>
      <c r="G16" s="457"/>
      <c r="H16" s="457"/>
      <c r="I16" s="457"/>
      <c r="J16" s="353" t="s">
        <v>32</v>
      </c>
      <c r="K16" s="429"/>
      <c r="L16" s="429"/>
      <c r="M16" s="429"/>
      <c r="N16" s="429"/>
      <c r="O16" s="429"/>
      <c r="P16" s="429"/>
      <c r="Q16" s="429"/>
    </row>
    <row r="17" spans="1:17" s="282" customFormat="1" ht="27" customHeight="1" x14ac:dyDescent="0.3">
      <c r="A17" s="342">
        <v>43738</v>
      </c>
      <c r="B17" s="340" t="s">
        <v>218</v>
      </c>
      <c r="C17" s="457" t="s">
        <v>220</v>
      </c>
      <c r="D17" s="457"/>
      <c r="E17" s="457"/>
      <c r="F17" s="457"/>
      <c r="G17" s="457"/>
      <c r="H17" s="457"/>
      <c r="I17" s="457"/>
      <c r="J17" s="353" t="s">
        <v>32</v>
      </c>
      <c r="K17" s="429"/>
      <c r="L17" s="429"/>
      <c r="M17" s="429"/>
      <c r="N17" s="429"/>
      <c r="O17" s="429"/>
      <c r="P17" s="429"/>
      <c r="Q17" s="429"/>
    </row>
    <row r="18" spans="1:17" s="282" customFormat="1" ht="27" customHeight="1" x14ac:dyDescent="0.3">
      <c r="A18" s="342">
        <v>43738</v>
      </c>
      <c r="B18" s="340" t="s">
        <v>221</v>
      </c>
      <c r="C18" s="457" t="s">
        <v>222</v>
      </c>
      <c r="D18" s="457"/>
      <c r="E18" s="457"/>
      <c r="F18" s="457"/>
      <c r="G18" s="457"/>
      <c r="H18" s="457"/>
      <c r="I18" s="457"/>
      <c r="J18" s="353" t="s">
        <v>32</v>
      </c>
      <c r="K18" s="429"/>
      <c r="L18" s="429"/>
      <c r="M18" s="429"/>
      <c r="N18" s="429"/>
      <c r="O18" s="429"/>
      <c r="P18" s="429"/>
      <c r="Q18" s="429"/>
    </row>
    <row r="19" spans="1:17" s="282" customFormat="1" ht="27" customHeight="1" x14ac:dyDescent="0.3">
      <c r="A19" s="342">
        <v>43738</v>
      </c>
      <c r="B19" s="340" t="s">
        <v>221</v>
      </c>
      <c r="C19" s="457" t="s">
        <v>223</v>
      </c>
      <c r="D19" s="457"/>
      <c r="E19" s="457"/>
      <c r="F19" s="457"/>
      <c r="G19" s="457"/>
      <c r="H19" s="457"/>
      <c r="I19" s="457"/>
      <c r="J19" s="353" t="s">
        <v>32</v>
      </c>
      <c r="K19" s="429"/>
      <c r="L19" s="429"/>
      <c r="M19" s="429"/>
      <c r="N19" s="429"/>
      <c r="O19" s="429"/>
      <c r="P19" s="429"/>
      <c r="Q19" s="429"/>
    </row>
    <row r="20" spans="1:17" s="282" customFormat="1" ht="27" customHeight="1" x14ac:dyDescent="0.3">
      <c r="A20" s="342">
        <v>43738</v>
      </c>
      <c r="B20" s="340" t="s">
        <v>221</v>
      </c>
      <c r="C20" s="457" t="s">
        <v>224</v>
      </c>
      <c r="D20" s="457"/>
      <c r="E20" s="457"/>
      <c r="F20" s="457"/>
      <c r="G20" s="457"/>
      <c r="H20" s="457"/>
      <c r="I20" s="457"/>
      <c r="J20" s="353" t="s">
        <v>32</v>
      </c>
      <c r="K20" s="429"/>
      <c r="L20" s="429"/>
      <c r="M20" s="429"/>
      <c r="N20" s="429"/>
      <c r="O20" s="429"/>
      <c r="P20" s="429"/>
      <c r="Q20" s="429"/>
    </row>
    <row r="21" spans="1:17" s="282" customFormat="1" ht="27" customHeight="1" x14ac:dyDescent="0.3">
      <c r="A21" s="342">
        <v>43738</v>
      </c>
      <c r="B21" s="340" t="s">
        <v>221</v>
      </c>
      <c r="C21" s="457" t="s">
        <v>225</v>
      </c>
      <c r="D21" s="457"/>
      <c r="E21" s="457"/>
      <c r="F21" s="457"/>
      <c r="G21" s="457"/>
      <c r="H21" s="457"/>
      <c r="I21" s="457"/>
      <c r="J21" s="353" t="s">
        <v>32</v>
      </c>
      <c r="K21" s="429"/>
      <c r="L21" s="429"/>
      <c r="M21" s="429"/>
      <c r="N21" s="429"/>
      <c r="O21" s="429"/>
      <c r="P21" s="429"/>
      <c r="Q21" s="429"/>
    </row>
    <row r="22" spans="1:17" s="282" customFormat="1" ht="41.4" customHeight="1" x14ac:dyDescent="0.3">
      <c r="A22" s="342">
        <v>43708</v>
      </c>
      <c r="B22" s="340" t="s">
        <v>226</v>
      </c>
      <c r="C22" s="457" t="s">
        <v>227</v>
      </c>
      <c r="D22" s="457"/>
      <c r="E22" s="457"/>
      <c r="F22" s="457"/>
      <c r="G22" s="457"/>
      <c r="H22" s="457"/>
      <c r="I22" s="457"/>
      <c r="J22" s="353" t="s">
        <v>32</v>
      </c>
      <c r="K22" s="429"/>
      <c r="L22" s="429"/>
      <c r="M22" s="429"/>
      <c r="N22" s="429"/>
      <c r="O22" s="429"/>
      <c r="P22" s="429"/>
      <c r="Q22" s="429"/>
    </row>
    <row r="23" spans="1:17" s="282" customFormat="1" ht="27" customHeight="1" x14ac:dyDescent="0.3">
      <c r="A23" s="342">
        <v>43738</v>
      </c>
      <c r="B23" s="340" t="s">
        <v>226</v>
      </c>
      <c r="C23" s="457" t="s">
        <v>228</v>
      </c>
      <c r="D23" s="457"/>
      <c r="E23" s="457"/>
      <c r="F23" s="457"/>
      <c r="G23" s="457"/>
      <c r="H23" s="457"/>
      <c r="I23" s="457"/>
      <c r="J23" s="353" t="s">
        <v>32</v>
      </c>
      <c r="K23" s="429"/>
      <c r="L23" s="429"/>
      <c r="M23" s="429"/>
      <c r="N23" s="429"/>
      <c r="O23" s="429"/>
      <c r="P23" s="429"/>
      <c r="Q23" s="429"/>
    </row>
    <row r="24" spans="1:17" s="282" customFormat="1" ht="27" customHeight="1" x14ac:dyDescent="0.3">
      <c r="A24" s="342">
        <v>43686</v>
      </c>
      <c r="B24" s="343" t="s">
        <v>229</v>
      </c>
      <c r="C24" s="430" t="s">
        <v>230</v>
      </c>
      <c r="D24" s="430"/>
      <c r="E24" s="430"/>
      <c r="F24" s="430"/>
      <c r="G24" s="430"/>
      <c r="H24" s="430"/>
      <c r="I24" s="430"/>
      <c r="J24" s="345" t="s">
        <v>59</v>
      </c>
      <c r="K24" s="429"/>
      <c r="L24" s="429"/>
      <c r="M24" s="429"/>
      <c r="N24" s="429"/>
      <c r="O24" s="429"/>
      <c r="P24" s="429"/>
      <c r="Q24" s="429"/>
    </row>
    <row r="25" spans="1:17" s="282" customFormat="1" ht="27" customHeight="1" thickBot="1" x14ac:dyDescent="0.35">
      <c r="A25" s="348">
        <v>43686</v>
      </c>
      <c r="B25" s="349" t="s">
        <v>229</v>
      </c>
      <c r="C25" s="431" t="s">
        <v>231</v>
      </c>
      <c r="D25" s="431"/>
      <c r="E25" s="431"/>
      <c r="F25" s="431"/>
      <c r="G25" s="431"/>
      <c r="H25" s="431"/>
      <c r="I25" s="431"/>
      <c r="J25" s="350" t="s">
        <v>59</v>
      </c>
      <c r="K25" s="432"/>
      <c r="L25" s="432"/>
      <c r="M25" s="432"/>
      <c r="N25" s="432"/>
      <c r="O25" s="432"/>
      <c r="P25" s="432"/>
      <c r="Q25" s="432"/>
    </row>
    <row r="26" spans="1:17" s="282" customFormat="1" ht="27" customHeight="1" x14ac:dyDescent="0.3">
      <c r="A26" s="273"/>
      <c r="B26" s="293"/>
      <c r="C26" s="449"/>
      <c r="D26" s="449"/>
      <c r="E26" s="449"/>
      <c r="F26" s="449"/>
      <c r="G26" s="449"/>
      <c r="H26" s="449"/>
      <c r="I26" s="449"/>
      <c r="J26" s="295"/>
      <c r="K26" s="284"/>
      <c r="L26" s="285"/>
      <c r="M26" s="295"/>
      <c r="N26" s="280"/>
    </row>
    <row r="27" spans="1:17" ht="16.2" thickBot="1" x14ac:dyDescent="0.35">
      <c r="A27" s="450" t="s">
        <v>42</v>
      </c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  <c r="Q27" s="450"/>
    </row>
    <row r="28" spans="1:17" ht="14.4" customHeight="1" thickBot="1" x14ac:dyDescent="0.35">
      <c r="A28" s="291" t="s">
        <v>43</v>
      </c>
      <c r="B28" s="290" t="s">
        <v>27</v>
      </c>
      <c r="C28" s="434" t="s">
        <v>28</v>
      </c>
      <c r="D28" s="434"/>
      <c r="E28" s="434"/>
      <c r="F28" s="434"/>
      <c r="G28" s="434"/>
      <c r="H28" s="434"/>
      <c r="I28" s="434"/>
      <c r="J28" s="306" t="s">
        <v>29</v>
      </c>
      <c r="K28" s="434" t="s">
        <v>30</v>
      </c>
      <c r="L28" s="434"/>
      <c r="M28" s="434"/>
      <c r="N28" s="434"/>
      <c r="O28" s="434"/>
      <c r="P28" s="434"/>
      <c r="Q28" s="435"/>
    </row>
    <row r="29" spans="1:17" ht="27" customHeight="1" x14ac:dyDescent="0.3">
      <c r="A29" s="468">
        <v>43696</v>
      </c>
      <c r="B29" s="340" t="s">
        <v>218</v>
      </c>
      <c r="C29" s="454" t="s">
        <v>232</v>
      </c>
      <c r="D29" s="454"/>
      <c r="E29" s="454"/>
      <c r="F29" s="454"/>
      <c r="G29" s="454"/>
      <c r="H29" s="454"/>
      <c r="I29" s="454"/>
      <c r="J29" s="365"/>
      <c r="K29" s="471"/>
      <c r="L29" s="471"/>
      <c r="M29" s="471"/>
      <c r="N29" s="471"/>
      <c r="O29" s="471"/>
      <c r="P29" s="471"/>
      <c r="Q29" s="471"/>
    </row>
    <row r="30" spans="1:17" ht="27" customHeight="1" x14ac:dyDescent="0.3">
      <c r="A30" s="468"/>
      <c r="B30" s="340" t="s">
        <v>218</v>
      </c>
      <c r="C30" s="430" t="s">
        <v>233</v>
      </c>
      <c r="D30" s="430"/>
      <c r="E30" s="430"/>
      <c r="F30" s="430"/>
      <c r="G30" s="430"/>
      <c r="H30" s="430"/>
      <c r="I30" s="430"/>
      <c r="J30" s="344"/>
      <c r="K30" s="429"/>
      <c r="L30" s="429"/>
      <c r="M30" s="429"/>
      <c r="N30" s="429"/>
      <c r="O30" s="429"/>
      <c r="P30" s="429"/>
      <c r="Q30" s="429"/>
    </row>
    <row r="31" spans="1:17" ht="27" customHeight="1" x14ac:dyDescent="0.3">
      <c r="A31" s="468"/>
      <c r="B31" s="340" t="s">
        <v>218</v>
      </c>
      <c r="C31" s="430" t="s">
        <v>234</v>
      </c>
      <c r="D31" s="430"/>
      <c r="E31" s="430"/>
      <c r="F31" s="430"/>
      <c r="G31" s="430"/>
      <c r="H31" s="430"/>
      <c r="I31" s="430"/>
      <c r="J31" s="344"/>
      <c r="K31" s="429"/>
      <c r="L31" s="429"/>
      <c r="M31" s="429"/>
      <c r="N31" s="429"/>
      <c r="O31" s="429"/>
      <c r="P31" s="429"/>
      <c r="Q31" s="429"/>
    </row>
    <row r="32" spans="1:17" ht="27" customHeight="1" x14ac:dyDescent="0.3">
      <c r="A32" s="468"/>
      <c r="B32" s="340" t="s">
        <v>218</v>
      </c>
      <c r="C32" s="430" t="s">
        <v>235</v>
      </c>
      <c r="D32" s="430"/>
      <c r="E32" s="430"/>
      <c r="F32" s="430"/>
      <c r="G32" s="430"/>
      <c r="H32" s="430"/>
      <c r="I32" s="430"/>
      <c r="J32" s="344"/>
      <c r="K32" s="429"/>
      <c r="L32" s="429"/>
      <c r="M32" s="429"/>
      <c r="N32" s="429"/>
      <c r="O32" s="429"/>
      <c r="P32" s="429"/>
      <c r="Q32" s="429"/>
    </row>
    <row r="33" spans="1:17" ht="27" customHeight="1" x14ac:dyDescent="0.3">
      <c r="A33" s="468"/>
      <c r="B33" s="340" t="s">
        <v>218</v>
      </c>
      <c r="C33" s="430" t="s">
        <v>236</v>
      </c>
      <c r="D33" s="430"/>
      <c r="E33" s="430"/>
      <c r="F33" s="430"/>
      <c r="G33" s="430"/>
      <c r="H33" s="430"/>
      <c r="I33" s="430"/>
      <c r="J33" s="344"/>
      <c r="K33" s="429"/>
      <c r="L33" s="429"/>
      <c r="M33" s="429"/>
      <c r="N33" s="429"/>
      <c r="O33" s="429"/>
      <c r="P33" s="429"/>
      <c r="Q33" s="429"/>
    </row>
    <row r="34" spans="1:17" ht="27" customHeight="1" x14ac:dyDescent="0.3">
      <c r="A34" s="468"/>
      <c r="B34" s="340" t="s">
        <v>218</v>
      </c>
      <c r="C34" s="430" t="s">
        <v>237</v>
      </c>
      <c r="D34" s="430"/>
      <c r="E34" s="430"/>
      <c r="F34" s="430"/>
      <c r="G34" s="430"/>
      <c r="H34" s="430"/>
      <c r="I34" s="430"/>
      <c r="J34" s="344"/>
      <c r="K34" s="429"/>
      <c r="L34" s="429"/>
      <c r="M34" s="429"/>
      <c r="N34" s="429"/>
      <c r="O34" s="429"/>
      <c r="P34" s="429"/>
      <c r="Q34" s="429"/>
    </row>
    <row r="35" spans="1:17" ht="27" customHeight="1" x14ac:dyDescent="0.3">
      <c r="A35" s="468"/>
      <c r="B35" s="340" t="s">
        <v>218</v>
      </c>
      <c r="C35" s="430" t="s">
        <v>238</v>
      </c>
      <c r="D35" s="430"/>
      <c r="E35" s="430"/>
      <c r="F35" s="430"/>
      <c r="G35" s="430"/>
      <c r="H35" s="430"/>
      <c r="I35" s="430"/>
      <c r="J35" s="344"/>
      <c r="K35" s="429"/>
      <c r="L35" s="429"/>
      <c r="M35" s="429"/>
      <c r="N35" s="429"/>
      <c r="O35" s="429"/>
      <c r="P35" s="429"/>
      <c r="Q35" s="429"/>
    </row>
    <row r="36" spans="1:17" ht="27" customHeight="1" x14ac:dyDescent="0.3">
      <c r="A36" s="468"/>
      <c r="B36" s="340" t="s">
        <v>218</v>
      </c>
      <c r="C36" s="430" t="s">
        <v>239</v>
      </c>
      <c r="D36" s="430"/>
      <c r="E36" s="430"/>
      <c r="F36" s="430"/>
      <c r="G36" s="430"/>
      <c r="H36" s="430"/>
      <c r="I36" s="430"/>
      <c r="J36" s="344"/>
      <c r="K36" s="429"/>
      <c r="L36" s="429"/>
      <c r="M36" s="429"/>
      <c r="N36" s="429"/>
      <c r="O36" s="429"/>
      <c r="P36" s="429"/>
      <c r="Q36" s="429"/>
    </row>
    <row r="37" spans="1:17" ht="27" customHeight="1" x14ac:dyDescent="0.3">
      <c r="A37" s="468"/>
      <c r="B37" s="340" t="s">
        <v>218</v>
      </c>
      <c r="C37" s="430" t="s">
        <v>240</v>
      </c>
      <c r="D37" s="430"/>
      <c r="E37" s="430"/>
      <c r="F37" s="430"/>
      <c r="G37" s="430"/>
      <c r="H37" s="430"/>
      <c r="I37" s="430"/>
      <c r="J37" s="344"/>
      <c r="K37" s="389"/>
      <c r="L37" s="389"/>
      <c r="M37" s="389"/>
      <c r="N37" s="389"/>
      <c r="O37" s="389"/>
      <c r="P37" s="389"/>
      <c r="Q37" s="389"/>
    </row>
    <row r="38" spans="1:17" ht="27" customHeight="1" x14ac:dyDescent="0.3">
      <c r="A38" s="468"/>
      <c r="B38" s="340" t="s">
        <v>218</v>
      </c>
      <c r="C38" s="430" t="s">
        <v>241</v>
      </c>
      <c r="D38" s="430"/>
      <c r="E38" s="430"/>
      <c r="F38" s="430"/>
      <c r="G38" s="430"/>
      <c r="H38" s="430"/>
      <c r="I38" s="430"/>
      <c r="J38" s="344"/>
      <c r="K38" s="389"/>
      <c r="L38" s="389"/>
      <c r="M38" s="389"/>
      <c r="N38" s="389"/>
      <c r="O38" s="389"/>
      <c r="P38" s="389"/>
      <c r="Q38" s="389"/>
    </row>
    <row r="39" spans="1:17" ht="27" customHeight="1" x14ac:dyDescent="0.3">
      <c r="A39" s="468"/>
      <c r="B39" s="343" t="s">
        <v>229</v>
      </c>
      <c r="C39" s="430" t="s">
        <v>242</v>
      </c>
      <c r="D39" s="430"/>
      <c r="E39" s="430"/>
      <c r="F39" s="430"/>
      <c r="G39" s="430"/>
      <c r="H39" s="430"/>
      <c r="I39" s="430"/>
      <c r="J39" s="344"/>
      <c r="K39" s="506" t="s">
        <v>243</v>
      </c>
      <c r="L39" s="506"/>
      <c r="M39" s="506"/>
      <c r="N39" s="506"/>
      <c r="O39" s="506"/>
      <c r="P39" s="506"/>
      <c r="Q39" s="506"/>
    </row>
    <row r="40" spans="1:17" ht="27" customHeight="1" x14ac:dyDescent="0.3">
      <c r="A40" s="468"/>
      <c r="B40" s="343" t="s">
        <v>229</v>
      </c>
      <c r="C40" s="430" t="s">
        <v>244</v>
      </c>
      <c r="D40" s="430"/>
      <c r="E40" s="430"/>
      <c r="F40" s="430"/>
      <c r="G40" s="430"/>
      <c r="H40" s="430"/>
      <c r="I40" s="430"/>
      <c r="J40" s="344"/>
      <c r="K40" s="429"/>
      <c r="L40" s="429"/>
      <c r="M40" s="429"/>
      <c r="N40" s="429"/>
      <c r="O40" s="429"/>
      <c r="P40" s="429"/>
      <c r="Q40" s="429"/>
    </row>
    <row r="41" spans="1:17" ht="27" customHeight="1" x14ac:dyDescent="0.3">
      <c r="A41" s="468"/>
      <c r="B41" s="343" t="s">
        <v>229</v>
      </c>
      <c r="C41" s="430" t="s">
        <v>245</v>
      </c>
      <c r="D41" s="430"/>
      <c r="E41" s="430"/>
      <c r="F41" s="430"/>
      <c r="G41" s="430"/>
      <c r="H41" s="430"/>
      <c r="I41" s="430"/>
      <c r="J41" s="344"/>
      <c r="K41" s="429"/>
      <c r="L41" s="429"/>
      <c r="M41" s="429"/>
      <c r="N41" s="429"/>
      <c r="O41" s="429"/>
      <c r="P41" s="429"/>
      <c r="Q41" s="429"/>
    </row>
    <row r="42" spans="1:17" ht="27" customHeight="1" x14ac:dyDescent="0.3">
      <c r="A42" s="468"/>
      <c r="B42" s="346" t="s">
        <v>229</v>
      </c>
      <c r="C42" s="430" t="s">
        <v>246</v>
      </c>
      <c r="D42" s="430"/>
      <c r="E42" s="430"/>
      <c r="F42" s="430"/>
      <c r="G42" s="430"/>
      <c r="H42" s="430"/>
      <c r="I42" s="430"/>
      <c r="J42" s="344"/>
      <c r="K42" s="389"/>
      <c r="L42" s="389"/>
      <c r="M42" s="389"/>
      <c r="N42" s="389"/>
      <c r="O42" s="389"/>
      <c r="P42" s="389"/>
      <c r="Q42" s="389"/>
    </row>
    <row r="43" spans="1:17" ht="27" customHeight="1" x14ac:dyDescent="0.3">
      <c r="A43" s="468"/>
      <c r="B43" s="343" t="s">
        <v>229</v>
      </c>
      <c r="C43" s="430" t="s">
        <v>247</v>
      </c>
      <c r="D43" s="430"/>
      <c r="E43" s="430"/>
      <c r="F43" s="430"/>
      <c r="G43" s="430"/>
      <c r="H43" s="430"/>
      <c r="I43" s="430"/>
      <c r="J43" s="344"/>
      <c r="K43" s="389"/>
      <c r="L43" s="389"/>
      <c r="M43" s="389"/>
      <c r="N43" s="389"/>
      <c r="O43" s="389"/>
      <c r="P43" s="389"/>
      <c r="Q43" s="389"/>
    </row>
    <row r="44" spans="1:17" ht="27" customHeight="1" x14ac:dyDescent="0.3">
      <c r="A44" s="468"/>
      <c r="B44" s="343" t="s">
        <v>205</v>
      </c>
      <c r="C44" s="430" t="s">
        <v>248</v>
      </c>
      <c r="D44" s="430"/>
      <c r="E44" s="430"/>
      <c r="F44" s="430"/>
      <c r="G44" s="430"/>
      <c r="H44" s="430"/>
      <c r="I44" s="430"/>
      <c r="J44" s="345"/>
      <c r="K44" s="506" t="s">
        <v>249</v>
      </c>
      <c r="L44" s="506"/>
      <c r="M44" s="506"/>
      <c r="N44" s="506"/>
      <c r="O44" s="506"/>
      <c r="P44" s="506"/>
      <c r="Q44" s="506"/>
    </row>
    <row r="45" spans="1:17" ht="27" customHeight="1" x14ac:dyDescent="0.3">
      <c r="A45" s="468"/>
      <c r="B45" s="343" t="s">
        <v>205</v>
      </c>
      <c r="C45" s="430" t="s">
        <v>250</v>
      </c>
      <c r="D45" s="430"/>
      <c r="E45" s="430"/>
      <c r="F45" s="430"/>
      <c r="G45" s="430"/>
      <c r="H45" s="430"/>
      <c r="I45" s="430"/>
      <c r="J45" s="344"/>
      <c r="K45" s="429"/>
      <c r="L45" s="429"/>
      <c r="M45" s="429"/>
      <c r="N45" s="429"/>
      <c r="O45" s="429"/>
      <c r="P45" s="429"/>
      <c r="Q45" s="429"/>
    </row>
    <row r="46" spans="1:17" ht="27" customHeight="1" x14ac:dyDescent="0.3">
      <c r="A46" s="468"/>
      <c r="B46" s="343" t="s">
        <v>205</v>
      </c>
      <c r="C46" s="430" t="s">
        <v>251</v>
      </c>
      <c r="D46" s="430"/>
      <c r="E46" s="430"/>
      <c r="F46" s="430"/>
      <c r="G46" s="430"/>
      <c r="H46" s="430"/>
      <c r="I46" s="430"/>
      <c r="J46" s="344"/>
      <c r="K46" s="498" t="s">
        <v>252</v>
      </c>
      <c r="L46" s="498"/>
      <c r="M46" s="498"/>
      <c r="N46" s="498"/>
      <c r="O46" s="498"/>
      <c r="P46" s="498"/>
      <c r="Q46" s="498"/>
    </row>
    <row r="47" spans="1:17" ht="27" customHeight="1" thickBot="1" x14ac:dyDescent="0.35">
      <c r="A47" s="469"/>
      <c r="B47" s="349" t="s">
        <v>205</v>
      </c>
      <c r="C47" s="431" t="s">
        <v>253</v>
      </c>
      <c r="D47" s="431"/>
      <c r="E47" s="431"/>
      <c r="F47" s="431"/>
      <c r="G47" s="431"/>
      <c r="H47" s="431"/>
      <c r="I47" s="431"/>
      <c r="J47" s="352"/>
      <c r="K47" s="432"/>
      <c r="L47" s="432"/>
      <c r="M47" s="432"/>
      <c r="N47" s="432"/>
      <c r="O47" s="432"/>
      <c r="P47" s="432"/>
      <c r="Q47" s="432"/>
    </row>
    <row r="48" spans="1:17" ht="27" customHeight="1" x14ac:dyDescent="0.3">
      <c r="A48" s="464">
        <v>43689</v>
      </c>
      <c r="B48" s="356" t="s">
        <v>218</v>
      </c>
      <c r="C48" s="436" t="s">
        <v>254</v>
      </c>
      <c r="D48" s="436"/>
      <c r="E48" s="436"/>
      <c r="F48" s="436"/>
      <c r="G48" s="436"/>
      <c r="H48" s="436"/>
      <c r="I48" s="436"/>
      <c r="J48" s="367" t="s">
        <v>59</v>
      </c>
      <c r="K48" s="507"/>
      <c r="L48" s="507"/>
      <c r="M48" s="507"/>
      <c r="N48" s="507"/>
      <c r="O48" s="507"/>
      <c r="P48" s="507"/>
      <c r="Q48" s="507"/>
    </row>
    <row r="49" spans="1:17" ht="27" customHeight="1" x14ac:dyDescent="0.3">
      <c r="A49" s="465"/>
      <c r="B49" s="343" t="s">
        <v>218</v>
      </c>
      <c r="C49" s="430" t="s">
        <v>255</v>
      </c>
      <c r="D49" s="430"/>
      <c r="E49" s="430"/>
      <c r="F49" s="430"/>
      <c r="G49" s="430"/>
      <c r="H49" s="430"/>
      <c r="I49" s="430"/>
      <c r="J49" s="345" t="s">
        <v>59</v>
      </c>
      <c r="K49" s="389"/>
      <c r="L49" s="389"/>
      <c r="M49" s="389"/>
      <c r="N49" s="389"/>
      <c r="O49" s="389"/>
      <c r="P49" s="389"/>
      <c r="Q49" s="389"/>
    </row>
    <row r="50" spans="1:17" ht="27" customHeight="1" x14ac:dyDescent="0.3">
      <c r="A50" s="465"/>
      <c r="B50" s="343" t="s">
        <v>218</v>
      </c>
      <c r="C50" s="430" t="s">
        <v>256</v>
      </c>
      <c r="D50" s="430"/>
      <c r="E50" s="430"/>
      <c r="F50" s="430"/>
      <c r="G50" s="430"/>
      <c r="H50" s="430"/>
      <c r="I50" s="430"/>
      <c r="J50" s="366" t="s">
        <v>257</v>
      </c>
      <c r="K50" s="429"/>
      <c r="L50" s="429"/>
      <c r="M50" s="429"/>
      <c r="N50" s="429"/>
      <c r="O50" s="429"/>
      <c r="P50" s="429"/>
      <c r="Q50" s="429"/>
    </row>
    <row r="51" spans="1:17" ht="27" customHeight="1" x14ac:dyDescent="0.3">
      <c r="A51" s="465"/>
      <c r="B51" s="343" t="s">
        <v>218</v>
      </c>
      <c r="C51" s="430" t="s">
        <v>258</v>
      </c>
      <c r="D51" s="430"/>
      <c r="E51" s="430"/>
      <c r="F51" s="430"/>
      <c r="G51" s="430"/>
      <c r="H51" s="430"/>
      <c r="I51" s="430"/>
      <c r="J51" s="366" t="s">
        <v>257</v>
      </c>
      <c r="K51" s="429"/>
      <c r="L51" s="429"/>
      <c r="M51" s="429"/>
      <c r="N51" s="429"/>
      <c r="O51" s="429"/>
      <c r="P51" s="429"/>
      <c r="Q51" s="429"/>
    </row>
    <row r="52" spans="1:17" ht="27" customHeight="1" x14ac:dyDescent="0.3">
      <c r="A52" s="465"/>
      <c r="B52" s="343" t="s">
        <v>218</v>
      </c>
      <c r="C52" s="430" t="s">
        <v>259</v>
      </c>
      <c r="D52" s="430"/>
      <c r="E52" s="430"/>
      <c r="F52" s="430"/>
      <c r="G52" s="430"/>
      <c r="H52" s="430"/>
      <c r="I52" s="430"/>
      <c r="J52" s="345" t="s">
        <v>59</v>
      </c>
      <c r="K52" s="429"/>
      <c r="L52" s="429"/>
      <c r="M52" s="429"/>
      <c r="N52" s="429"/>
      <c r="O52" s="429"/>
      <c r="P52" s="429"/>
      <c r="Q52" s="429"/>
    </row>
    <row r="53" spans="1:17" ht="27" customHeight="1" x14ac:dyDescent="0.3">
      <c r="A53" s="465"/>
      <c r="B53" s="343" t="s">
        <v>218</v>
      </c>
      <c r="C53" s="430" t="s">
        <v>260</v>
      </c>
      <c r="D53" s="430"/>
      <c r="E53" s="430"/>
      <c r="F53" s="430"/>
      <c r="G53" s="430"/>
      <c r="H53" s="430"/>
      <c r="I53" s="430"/>
      <c r="J53" s="345" t="s">
        <v>59</v>
      </c>
      <c r="K53" s="429"/>
      <c r="L53" s="429"/>
      <c r="M53" s="429"/>
      <c r="N53" s="429"/>
      <c r="O53" s="429"/>
      <c r="P53" s="429"/>
      <c r="Q53" s="429"/>
    </row>
    <row r="54" spans="1:17" ht="27" customHeight="1" x14ac:dyDescent="0.3">
      <c r="A54" s="465"/>
      <c r="B54" s="343" t="s">
        <v>218</v>
      </c>
      <c r="C54" s="430" t="s">
        <v>261</v>
      </c>
      <c r="D54" s="430"/>
      <c r="E54" s="430"/>
      <c r="F54" s="430"/>
      <c r="G54" s="430"/>
      <c r="H54" s="430"/>
      <c r="I54" s="430"/>
      <c r="J54" s="345" t="s">
        <v>59</v>
      </c>
      <c r="K54" s="429" t="s">
        <v>262</v>
      </c>
      <c r="L54" s="429"/>
      <c r="M54" s="429"/>
      <c r="N54" s="429"/>
      <c r="O54" s="429"/>
      <c r="P54" s="429"/>
      <c r="Q54" s="429"/>
    </row>
    <row r="55" spans="1:17" ht="27" customHeight="1" x14ac:dyDescent="0.3">
      <c r="A55" s="465"/>
      <c r="B55" s="343" t="s">
        <v>218</v>
      </c>
      <c r="C55" s="430" t="s">
        <v>263</v>
      </c>
      <c r="D55" s="430"/>
      <c r="E55" s="430"/>
      <c r="F55" s="430"/>
      <c r="G55" s="430"/>
      <c r="H55" s="430"/>
      <c r="I55" s="430"/>
      <c r="J55" s="345" t="s">
        <v>59</v>
      </c>
      <c r="K55" s="429"/>
      <c r="L55" s="429"/>
      <c r="M55" s="429"/>
      <c r="N55" s="429"/>
      <c r="O55" s="429"/>
      <c r="P55" s="429"/>
      <c r="Q55" s="429"/>
    </row>
    <row r="56" spans="1:17" ht="27" customHeight="1" x14ac:dyDescent="0.3">
      <c r="A56" s="465"/>
      <c r="B56" s="343" t="s">
        <v>205</v>
      </c>
      <c r="C56" s="430" t="s">
        <v>264</v>
      </c>
      <c r="D56" s="430"/>
      <c r="E56" s="430"/>
      <c r="F56" s="430"/>
      <c r="G56" s="430"/>
      <c r="H56" s="430"/>
      <c r="I56" s="430"/>
      <c r="J56" s="345" t="s">
        <v>59</v>
      </c>
      <c r="K56" s="429"/>
      <c r="L56" s="429"/>
      <c r="M56" s="429"/>
      <c r="N56" s="429"/>
      <c r="O56" s="429"/>
      <c r="P56" s="429"/>
      <c r="Q56" s="429"/>
    </row>
    <row r="57" spans="1:17" ht="27" customHeight="1" x14ac:dyDescent="0.3">
      <c r="A57" s="465"/>
      <c r="B57" s="343" t="s">
        <v>205</v>
      </c>
      <c r="C57" s="430" t="s">
        <v>265</v>
      </c>
      <c r="D57" s="430"/>
      <c r="E57" s="430"/>
      <c r="F57" s="430"/>
      <c r="G57" s="430"/>
      <c r="H57" s="430"/>
      <c r="I57" s="430"/>
      <c r="J57" s="345" t="s">
        <v>59</v>
      </c>
      <c r="K57" s="498" t="s">
        <v>266</v>
      </c>
      <c r="L57" s="498"/>
      <c r="M57" s="498"/>
      <c r="N57" s="498"/>
      <c r="O57" s="498"/>
      <c r="P57" s="498"/>
      <c r="Q57" s="498"/>
    </row>
    <row r="58" spans="1:17" ht="27" customHeight="1" x14ac:dyDescent="0.3">
      <c r="A58" s="465"/>
      <c r="B58" s="343" t="s">
        <v>205</v>
      </c>
      <c r="C58" s="430" t="s">
        <v>267</v>
      </c>
      <c r="D58" s="430"/>
      <c r="E58" s="430"/>
      <c r="F58" s="430"/>
      <c r="G58" s="430"/>
      <c r="H58" s="430"/>
      <c r="I58" s="430"/>
      <c r="J58" s="366" t="s">
        <v>257</v>
      </c>
      <c r="K58" s="429"/>
      <c r="L58" s="429"/>
      <c r="M58" s="429"/>
      <c r="N58" s="429"/>
      <c r="O58" s="429"/>
      <c r="P58" s="429"/>
      <c r="Q58" s="429"/>
    </row>
    <row r="59" spans="1:17" ht="27" customHeight="1" x14ac:dyDescent="0.3">
      <c r="A59" s="465"/>
      <c r="B59" s="343" t="s">
        <v>205</v>
      </c>
      <c r="C59" s="430" t="s">
        <v>268</v>
      </c>
      <c r="D59" s="430"/>
      <c r="E59" s="430"/>
      <c r="F59" s="430"/>
      <c r="G59" s="430"/>
      <c r="H59" s="430"/>
      <c r="I59" s="430"/>
      <c r="J59" s="345" t="s">
        <v>59</v>
      </c>
      <c r="K59" s="429"/>
      <c r="L59" s="429"/>
      <c r="M59" s="429"/>
      <c r="N59" s="429"/>
      <c r="O59" s="429"/>
      <c r="P59" s="429"/>
      <c r="Q59" s="429"/>
    </row>
    <row r="60" spans="1:17" ht="27" customHeight="1" x14ac:dyDescent="0.3">
      <c r="A60" s="465"/>
      <c r="B60" s="343" t="s">
        <v>205</v>
      </c>
      <c r="C60" s="430" t="s">
        <v>269</v>
      </c>
      <c r="D60" s="430"/>
      <c r="E60" s="430"/>
      <c r="F60" s="430"/>
      <c r="G60" s="430"/>
      <c r="H60" s="430"/>
      <c r="I60" s="430"/>
      <c r="J60" s="345" t="s">
        <v>59</v>
      </c>
      <c r="K60" s="429"/>
      <c r="L60" s="429"/>
      <c r="M60" s="429"/>
      <c r="N60" s="429"/>
      <c r="O60" s="429"/>
      <c r="P60" s="429"/>
      <c r="Q60" s="429"/>
    </row>
    <row r="61" spans="1:17" ht="27" customHeight="1" thickBot="1" x14ac:dyDescent="0.35">
      <c r="A61" s="466"/>
      <c r="B61" s="349" t="s">
        <v>205</v>
      </c>
      <c r="C61" s="431" t="s">
        <v>270</v>
      </c>
      <c r="D61" s="431"/>
      <c r="E61" s="431"/>
      <c r="F61" s="431"/>
      <c r="G61" s="431"/>
      <c r="H61" s="431"/>
      <c r="I61" s="431"/>
      <c r="J61" s="368" t="s">
        <v>62</v>
      </c>
      <c r="K61" s="432"/>
      <c r="L61" s="432"/>
      <c r="M61" s="432"/>
      <c r="N61" s="432"/>
      <c r="O61" s="432"/>
      <c r="P61" s="432"/>
      <c r="Q61" s="432"/>
    </row>
    <row r="62" spans="1:17" s="282" customFormat="1" x14ac:dyDescent="0.3">
      <c r="B62" s="369"/>
      <c r="C62" s="369"/>
      <c r="D62" s="369"/>
      <c r="E62" s="369"/>
      <c r="F62" s="369"/>
      <c r="G62" s="369"/>
      <c r="H62" s="369"/>
      <c r="I62" s="369"/>
      <c r="K62" s="296"/>
      <c r="L62" s="296"/>
      <c r="M62" s="296"/>
      <c r="N62" s="296"/>
      <c r="O62" s="296"/>
      <c r="P62" s="296"/>
      <c r="Q62" s="296"/>
    </row>
    <row r="63" spans="1:17" s="282" customFormat="1" x14ac:dyDescent="0.3">
      <c r="B63" s="369"/>
      <c r="C63" s="369"/>
      <c r="D63" s="369"/>
      <c r="E63" s="369"/>
      <c r="F63" s="369"/>
      <c r="G63" s="369"/>
      <c r="H63" s="369"/>
      <c r="I63" s="369"/>
      <c r="K63" s="296"/>
      <c r="L63" s="296"/>
      <c r="M63" s="296"/>
      <c r="N63" s="296"/>
      <c r="O63" s="296"/>
      <c r="P63" s="296"/>
      <c r="Q63" s="296"/>
    </row>
    <row r="64" spans="1:17" s="282" customFormat="1" x14ac:dyDescent="0.3">
      <c r="B64" s="369"/>
      <c r="C64" s="369"/>
      <c r="D64" s="369"/>
      <c r="E64" s="369"/>
      <c r="F64" s="369"/>
      <c r="G64" s="369"/>
      <c r="H64" s="369"/>
      <c r="I64" s="369"/>
      <c r="K64" s="296"/>
      <c r="L64" s="296"/>
      <c r="M64" s="296"/>
      <c r="N64" s="296"/>
      <c r="O64" s="296"/>
      <c r="P64" s="296"/>
      <c r="Q64" s="296"/>
    </row>
    <row r="65" spans="2:17" s="282" customFormat="1" x14ac:dyDescent="0.3">
      <c r="B65" s="369"/>
      <c r="C65" s="369"/>
      <c r="D65" s="369"/>
      <c r="E65" s="369"/>
      <c r="F65" s="369"/>
      <c r="G65" s="369"/>
      <c r="H65" s="369"/>
      <c r="I65" s="369"/>
      <c r="K65" s="296"/>
      <c r="L65" s="296"/>
      <c r="M65" s="296"/>
      <c r="N65" s="296"/>
      <c r="O65" s="296"/>
      <c r="P65" s="296"/>
      <c r="Q65" s="296"/>
    </row>
    <row r="66" spans="2:17" s="282" customFormat="1" x14ac:dyDescent="0.3">
      <c r="B66" s="369"/>
      <c r="C66" s="369"/>
      <c r="D66" s="369"/>
      <c r="E66" s="369"/>
      <c r="F66" s="369"/>
      <c r="G66" s="369"/>
      <c r="H66" s="369"/>
      <c r="I66" s="369"/>
      <c r="K66" s="296"/>
      <c r="L66" s="296"/>
      <c r="M66" s="296"/>
      <c r="N66" s="296"/>
      <c r="O66" s="296"/>
      <c r="P66" s="296"/>
      <c r="Q66" s="296"/>
    </row>
    <row r="67" spans="2:17" s="282" customFormat="1" x14ac:dyDescent="0.3">
      <c r="C67" s="296"/>
      <c r="D67" s="296"/>
      <c r="E67" s="296"/>
      <c r="F67" s="296"/>
      <c r="G67" s="296"/>
      <c r="H67" s="296"/>
      <c r="I67" s="296"/>
      <c r="K67" s="296"/>
      <c r="L67" s="296"/>
      <c r="M67" s="296"/>
      <c r="N67" s="296"/>
      <c r="O67" s="296"/>
      <c r="P67" s="296"/>
      <c r="Q67" s="296"/>
    </row>
    <row r="68" spans="2:17" s="282" customFormat="1" x14ac:dyDescent="0.3">
      <c r="C68" s="296"/>
      <c r="D68" s="296"/>
      <c r="E68" s="296"/>
      <c r="F68" s="296"/>
      <c r="G68" s="296"/>
      <c r="H68" s="296"/>
      <c r="I68" s="296"/>
      <c r="K68" s="296"/>
      <c r="L68" s="296"/>
      <c r="M68" s="296"/>
      <c r="N68" s="296"/>
      <c r="O68" s="296"/>
      <c r="P68" s="296"/>
      <c r="Q68" s="296"/>
    </row>
    <row r="69" spans="2:17" s="282" customFormat="1" x14ac:dyDescent="0.3">
      <c r="C69" s="296"/>
      <c r="D69" s="296"/>
      <c r="E69" s="296"/>
      <c r="F69" s="296"/>
      <c r="G69" s="296"/>
      <c r="H69" s="296"/>
      <c r="I69" s="296"/>
      <c r="K69" s="296"/>
      <c r="L69" s="296"/>
      <c r="M69" s="296"/>
      <c r="N69" s="296"/>
      <c r="O69" s="296"/>
      <c r="P69" s="296"/>
      <c r="Q69" s="296"/>
    </row>
    <row r="70" spans="2:17" s="282" customFormat="1" x14ac:dyDescent="0.3">
      <c r="C70" s="296"/>
      <c r="D70" s="296"/>
      <c r="E70" s="296"/>
      <c r="F70" s="296"/>
      <c r="G70" s="296"/>
      <c r="H70" s="296"/>
      <c r="I70" s="296"/>
      <c r="K70" s="296"/>
      <c r="L70" s="296"/>
      <c r="M70" s="296"/>
      <c r="N70" s="296"/>
      <c r="O70" s="296"/>
      <c r="P70" s="296"/>
      <c r="Q70" s="296"/>
    </row>
    <row r="71" spans="2:17" s="282" customFormat="1" x14ac:dyDescent="0.3">
      <c r="C71" s="296"/>
      <c r="D71" s="296"/>
      <c r="E71" s="296"/>
      <c r="F71" s="296"/>
      <c r="G71" s="296"/>
      <c r="H71" s="296"/>
      <c r="I71" s="296"/>
      <c r="K71" s="296"/>
      <c r="L71" s="296"/>
      <c r="M71" s="296"/>
      <c r="N71" s="296"/>
      <c r="O71" s="296"/>
      <c r="P71" s="296"/>
      <c r="Q71" s="296"/>
    </row>
    <row r="72" spans="2:17" s="282" customFormat="1" x14ac:dyDescent="0.3">
      <c r="C72" s="296"/>
      <c r="D72" s="296"/>
      <c r="E72" s="296"/>
      <c r="F72" s="296"/>
      <c r="G72" s="296"/>
      <c r="H72" s="296"/>
      <c r="I72" s="296"/>
      <c r="K72" s="296"/>
      <c r="L72" s="296"/>
      <c r="M72" s="296"/>
      <c r="N72" s="296"/>
      <c r="O72" s="296"/>
      <c r="P72" s="296"/>
      <c r="Q72" s="296"/>
    </row>
    <row r="73" spans="2:17" s="282" customFormat="1" x14ac:dyDescent="0.3">
      <c r="C73" s="296"/>
      <c r="D73" s="296"/>
      <c r="E73" s="296"/>
      <c r="F73" s="296"/>
      <c r="G73" s="296"/>
      <c r="H73" s="296"/>
      <c r="I73" s="296"/>
      <c r="K73" s="296"/>
      <c r="L73" s="296"/>
      <c r="M73" s="296"/>
      <c r="N73" s="296"/>
      <c r="O73" s="296"/>
      <c r="P73" s="296"/>
      <c r="Q73" s="296"/>
    </row>
    <row r="74" spans="2:17" s="282" customFormat="1" x14ac:dyDescent="0.3">
      <c r="C74" s="296"/>
      <c r="K74" s="296"/>
      <c r="L74" s="296"/>
      <c r="M74" s="296"/>
      <c r="N74" s="296"/>
      <c r="O74" s="296"/>
      <c r="P74" s="296"/>
      <c r="Q74" s="296"/>
    </row>
    <row r="75" spans="2:17" s="282" customFormat="1" x14ac:dyDescent="0.3">
      <c r="C75" s="296"/>
      <c r="K75" s="296"/>
      <c r="L75" s="296"/>
      <c r="M75" s="296"/>
      <c r="N75" s="296"/>
      <c r="O75" s="296"/>
      <c r="P75" s="296"/>
      <c r="Q75" s="296"/>
    </row>
    <row r="76" spans="2:17" s="282" customFormat="1" x14ac:dyDescent="0.3">
      <c r="C76" s="296"/>
      <c r="D76" s="296"/>
      <c r="E76" s="296"/>
      <c r="F76" s="296"/>
      <c r="G76" s="296"/>
      <c r="H76" s="296"/>
      <c r="I76" s="296"/>
      <c r="K76" s="296"/>
      <c r="L76" s="296"/>
      <c r="M76" s="296"/>
      <c r="N76" s="296"/>
      <c r="O76" s="296"/>
      <c r="P76" s="296"/>
      <c r="Q76" s="296"/>
    </row>
    <row r="77" spans="2:17" s="282" customFormat="1" x14ac:dyDescent="0.3">
      <c r="C77" s="296"/>
      <c r="D77" s="296"/>
      <c r="E77" s="296"/>
      <c r="F77" s="296"/>
      <c r="G77" s="296"/>
      <c r="H77" s="296"/>
      <c r="I77" s="296"/>
      <c r="K77" s="296"/>
      <c r="L77" s="296"/>
      <c r="M77" s="296"/>
      <c r="N77" s="296"/>
      <c r="O77" s="296"/>
      <c r="P77" s="296"/>
      <c r="Q77" s="296"/>
    </row>
    <row r="78" spans="2:17" s="282" customFormat="1" x14ac:dyDescent="0.3">
      <c r="C78" s="296"/>
      <c r="D78" s="296"/>
      <c r="E78" s="296"/>
      <c r="F78" s="296"/>
      <c r="G78" s="296"/>
      <c r="H78" s="296"/>
      <c r="I78" s="296"/>
      <c r="K78" s="296"/>
      <c r="L78" s="296"/>
      <c r="M78" s="296"/>
      <c r="N78" s="296"/>
      <c r="O78" s="296"/>
      <c r="P78" s="296"/>
      <c r="Q78" s="296"/>
    </row>
    <row r="79" spans="2:17" s="282" customFormat="1" x14ac:dyDescent="0.3">
      <c r="C79" s="296"/>
      <c r="D79" s="296"/>
      <c r="E79" s="296"/>
      <c r="F79" s="296"/>
      <c r="G79" s="296"/>
      <c r="H79" s="296"/>
      <c r="I79" s="296"/>
      <c r="K79" s="296"/>
      <c r="L79" s="296"/>
      <c r="M79" s="296"/>
      <c r="N79" s="296"/>
      <c r="O79" s="296"/>
      <c r="P79" s="296"/>
      <c r="Q79" s="296"/>
    </row>
    <row r="80" spans="2:17" s="282" customFormat="1" x14ac:dyDescent="0.3">
      <c r="C80" s="296"/>
      <c r="D80" s="296"/>
      <c r="E80" s="296"/>
      <c r="F80" s="296"/>
      <c r="G80" s="296"/>
      <c r="H80" s="296"/>
      <c r="I80" s="296"/>
      <c r="K80" s="296"/>
      <c r="L80" s="296"/>
      <c r="M80" s="296"/>
      <c r="N80" s="296"/>
      <c r="O80" s="296"/>
      <c r="P80" s="296"/>
      <c r="Q80" s="296"/>
    </row>
    <row r="81" spans="3:17" s="282" customFormat="1" x14ac:dyDescent="0.3">
      <c r="C81" s="296"/>
      <c r="D81" s="296"/>
      <c r="E81" s="296"/>
      <c r="F81" s="296"/>
      <c r="G81" s="296"/>
      <c r="H81" s="296"/>
      <c r="I81" s="296"/>
      <c r="K81" s="296"/>
      <c r="L81" s="296"/>
      <c r="M81" s="296"/>
      <c r="N81" s="296"/>
      <c r="O81" s="296"/>
      <c r="P81" s="296"/>
      <c r="Q81" s="296"/>
    </row>
    <row r="82" spans="3:17" s="282" customFormat="1" x14ac:dyDescent="0.3">
      <c r="C82" s="296"/>
      <c r="D82" s="296"/>
      <c r="E82" s="296"/>
      <c r="F82" s="296"/>
      <c r="G82" s="296"/>
      <c r="H82" s="296"/>
      <c r="I82" s="296"/>
      <c r="K82" s="296"/>
      <c r="L82" s="296"/>
      <c r="M82" s="296"/>
      <c r="N82" s="296"/>
      <c r="O82" s="296"/>
      <c r="P82" s="296"/>
      <c r="Q82" s="296"/>
    </row>
    <row r="83" spans="3:17" s="282" customFormat="1" x14ac:dyDescent="0.3">
      <c r="C83" s="296"/>
      <c r="D83" s="296"/>
      <c r="E83" s="296"/>
      <c r="F83" s="296"/>
      <c r="G83" s="296"/>
      <c r="H83" s="296"/>
      <c r="I83" s="296"/>
      <c r="K83" s="296"/>
      <c r="L83" s="296"/>
      <c r="M83" s="296"/>
      <c r="N83" s="296"/>
      <c r="O83" s="296"/>
      <c r="P83" s="296"/>
      <c r="Q83" s="296"/>
    </row>
    <row r="84" spans="3:17" s="282" customFormat="1" x14ac:dyDescent="0.3">
      <c r="C84" s="296"/>
      <c r="D84" s="296"/>
      <c r="E84" s="296"/>
      <c r="F84" s="296"/>
      <c r="G84" s="296"/>
      <c r="H84" s="296"/>
      <c r="I84" s="296"/>
      <c r="K84" s="296"/>
      <c r="L84" s="296"/>
      <c r="M84" s="296"/>
      <c r="N84" s="296"/>
      <c r="O84" s="296"/>
      <c r="P84" s="296"/>
      <c r="Q84" s="296"/>
    </row>
    <row r="85" spans="3:17" s="282" customFormat="1" x14ac:dyDescent="0.3">
      <c r="C85" s="296"/>
      <c r="D85" s="296"/>
      <c r="E85" s="296"/>
      <c r="F85" s="296"/>
      <c r="G85" s="296"/>
      <c r="H85" s="296"/>
      <c r="I85" s="296"/>
      <c r="K85" s="296"/>
      <c r="L85" s="296"/>
      <c r="M85" s="296"/>
      <c r="N85" s="296"/>
      <c r="O85" s="296"/>
      <c r="P85" s="296"/>
      <c r="Q85" s="296"/>
    </row>
    <row r="86" spans="3:17" s="282" customFormat="1" x14ac:dyDescent="0.3">
      <c r="C86" s="296"/>
      <c r="D86" s="296"/>
      <c r="E86" s="296"/>
      <c r="F86" s="296"/>
      <c r="G86" s="296"/>
      <c r="H86" s="296"/>
      <c r="I86" s="296"/>
      <c r="K86" s="296"/>
      <c r="L86" s="296"/>
      <c r="M86" s="296"/>
      <c r="N86" s="296"/>
      <c r="O86" s="296"/>
      <c r="P86" s="296"/>
      <c r="Q86" s="296"/>
    </row>
    <row r="87" spans="3:17" s="282" customFormat="1" x14ac:dyDescent="0.3">
      <c r="C87" s="296"/>
      <c r="D87" s="296"/>
      <c r="E87" s="296"/>
      <c r="F87" s="296"/>
      <c r="G87" s="296"/>
      <c r="H87" s="296"/>
      <c r="I87" s="296"/>
      <c r="K87" s="296"/>
      <c r="L87" s="296"/>
      <c r="M87" s="296"/>
      <c r="N87" s="296"/>
      <c r="O87" s="296"/>
      <c r="P87" s="296"/>
      <c r="Q87" s="296"/>
    </row>
    <row r="88" spans="3:17" s="282" customFormat="1" x14ac:dyDescent="0.3">
      <c r="C88" s="296"/>
      <c r="D88" s="296"/>
      <c r="E88" s="296"/>
      <c r="F88" s="296"/>
      <c r="G88" s="296"/>
      <c r="H88" s="296"/>
      <c r="I88" s="296"/>
      <c r="K88" s="296"/>
      <c r="L88" s="296"/>
      <c r="M88" s="296"/>
      <c r="N88" s="296"/>
      <c r="O88" s="296"/>
      <c r="P88" s="296"/>
      <c r="Q88" s="296"/>
    </row>
    <row r="89" spans="3:17" s="282" customFormat="1" x14ac:dyDescent="0.3">
      <c r="C89" s="296"/>
      <c r="D89" s="296"/>
      <c r="E89" s="296"/>
      <c r="F89" s="296"/>
      <c r="G89" s="296"/>
      <c r="H89" s="296"/>
      <c r="I89" s="296"/>
      <c r="K89" s="296"/>
      <c r="L89" s="296"/>
      <c r="M89" s="296"/>
      <c r="N89" s="296"/>
      <c r="O89" s="296"/>
      <c r="P89" s="296"/>
      <c r="Q89" s="296"/>
    </row>
    <row r="90" spans="3:17" s="282" customFormat="1" x14ac:dyDescent="0.3">
      <c r="C90" s="296"/>
      <c r="D90" s="296"/>
      <c r="E90" s="296"/>
      <c r="F90" s="296"/>
      <c r="G90" s="296"/>
      <c r="H90" s="296"/>
      <c r="I90" s="296"/>
      <c r="K90" s="296"/>
      <c r="L90" s="296"/>
      <c r="M90" s="296"/>
      <c r="N90" s="296"/>
      <c r="O90" s="296"/>
      <c r="P90" s="296"/>
      <c r="Q90" s="296"/>
    </row>
    <row r="91" spans="3:17" s="282" customFormat="1" x14ac:dyDescent="0.3">
      <c r="C91" s="296"/>
      <c r="D91" s="296"/>
      <c r="E91" s="296"/>
      <c r="F91" s="296"/>
      <c r="G91" s="296"/>
      <c r="H91" s="296"/>
      <c r="I91" s="296"/>
      <c r="K91" s="296"/>
      <c r="L91" s="296"/>
      <c r="M91" s="296"/>
      <c r="N91" s="296"/>
      <c r="O91" s="296"/>
      <c r="P91" s="296"/>
      <c r="Q91" s="296"/>
    </row>
    <row r="92" spans="3:17" s="282" customFormat="1" x14ac:dyDescent="0.3">
      <c r="C92" s="296"/>
      <c r="D92" s="296"/>
      <c r="E92" s="296"/>
      <c r="F92" s="296"/>
      <c r="G92" s="296"/>
      <c r="H92" s="296"/>
      <c r="I92" s="296"/>
      <c r="K92" s="296"/>
      <c r="L92" s="296"/>
      <c r="M92" s="296"/>
      <c r="N92" s="296"/>
      <c r="O92" s="296"/>
      <c r="P92" s="296"/>
      <c r="Q92" s="296"/>
    </row>
    <row r="93" spans="3:17" s="282" customFormat="1" x14ac:dyDescent="0.3">
      <c r="C93" s="296"/>
      <c r="D93" s="296"/>
      <c r="E93" s="296"/>
      <c r="F93" s="296"/>
      <c r="G93" s="296"/>
      <c r="H93" s="296"/>
      <c r="I93" s="296"/>
      <c r="K93" s="296"/>
      <c r="L93" s="296"/>
      <c r="M93" s="296"/>
      <c r="N93" s="296"/>
      <c r="O93" s="296"/>
      <c r="P93" s="296"/>
      <c r="Q93" s="296"/>
    </row>
    <row r="94" spans="3:17" s="282" customFormat="1" x14ac:dyDescent="0.3">
      <c r="C94" s="296"/>
      <c r="D94" s="296"/>
      <c r="E94" s="296"/>
      <c r="F94" s="296"/>
      <c r="G94" s="296"/>
      <c r="H94" s="296"/>
      <c r="I94" s="296"/>
      <c r="K94" s="296"/>
      <c r="L94" s="296"/>
      <c r="M94" s="296"/>
      <c r="N94" s="296"/>
      <c r="O94" s="296"/>
      <c r="P94" s="296"/>
      <c r="Q94" s="296"/>
    </row>
    <row r="95" spans="3:17" s="282" customFormat="1" x14ac:dyDescent="0.3">
      <c r="C95" s="296"/>
      <c r="D95" s="296"/>
      <c r="E95" s="296"/>
      <c r="F95" s="296"/>
      <c r="G95" s="296"/>
      <c r="H95" s="296"/>
      <c r="I95" s="296"/>
      <c r="K95" s="296"/>
      <c r="L95" s="296"/>
      <c r="M95" s="296"/>
      <c r="N95" s="296"/>
      <c r="O95" s="296"/>
      <c r="P95" s="296"/>
      <c r="Q95" s="296"/>
    </row>
    <row r="96" spans="3:17" s="282" customFormat="1" x14ac:dyDescent="0.3">
      <c r="C96" s="296"/>
      <c r="D96" s="296"/>
      <c r="E96" s="296"/>
      <c r="F96" s="296"/>
      <c r="G96" s="296"/>
      <c r="H96" s="296"/>
      <c r="I96" s="296"/>
      <c r="K96" s="296"/>
      <c r="L96" s="296"/>
      <c r="M96" s="296"/>
      <c r="N96" s="296"/>
      <c r="O96" s="296"/>
      <c r="P96" s="296"/>
      <c r="Q96" s="296"/>
    </row>
    <row r="97" spans="3:17" s="282" customFormat="1" x14ac:dyDescent="0.3">
      <c r="C97" s="296"/>
      <c r="D97" s="296"/>
      <c r="E97" s="296"/>
      <c r="F97" s="296"/>
      <c r="G97" s="296"/>
      <c r="H97" s="296"/>
      <c r="I97" s="296"/>
      <c r="K97" s="296"/>
      <c r="L97" s="296"/>
      <c r="M97" s="296"/>
      <c r="N97" s="296"/>
      <c r="O97" s="296"/>
      <c r="P97" s="296"/>
      <c r="Q97" s="296"/>
    </row>
    <row r="98" spans="3:17" s="282" customFormat="1" x14ac:dyDescent="0.3">
      <c r="C98" s="296"/>
      <c r="D98" s="296"/>
      <c r="E98" s="296"/>
      <c r="F98" s="296"/>
      <c r="G98" s="296"/>
      <c r="H98" s="296"/>
      <c r="I98" s="296"/>
      <c r="K98" s="296"/>
      <c r="L98" s="296"/>
      <c r="M98" s="296"/>
      <c r="N98" s="296"/>
      <c r="O98" s="296"/>
      <c r="P98" s="296"/>
      <c r="Q98" s="296"/>
    </row>
    <row r="99" spans="3:17" s="282" customFormat="1" x14ac:dyDescent="0.3">
      <c r="C99" s="296"/>
      <c r="D99" s="296"/>
      <c r="E99" s="296"/>
      <c r="F99" s="296"/>
      <c r="G99" s="296"/>
      <c r="H99" s="296"/>
      <c r="I99" s="296"/>
      <c r="K99" s="296"/>
      <c r="L99" s="296"/>
      <c r="M99" s="296"/>
      <c r="N99" s="296"/>
      <c r="O99" s="296"/>
      <c r="P99" s="296"/>
      <c r="Q99" s="296"/>
    </row>
    <row r="100" spans="3:17" s="282" customFormat="1" x14ac:dyDescent="0.3">
      <c r="C100" s="296"/>
      <c r="D100" s="296"/>
      <c r="E100" s="296"/>
      <c r="F100" s="296"/>
      <c r="G100" s="296"/>
      <c r="H100" s="296"/>
      <c r="I100" s="296"/>
      <c r="K100" s="296"/>
      <c r="L100" s="296"/>
      <c r="M100" s="296"/>
      <c r="N100" s="296"/>
      <c r="O100" s="296"/>
      <c r="P100" s="296"/>
      <c r="Q100" s="296"/>
    </row>
    <row r="101" spans="3:17" s="282" customFormat="1" x14ac:dyDescent="0.3">
      <c r="C101" s="296"/>
      <c r="D101" s="296"/>
      <c r="E101" s="296"/>
      <c r="F101" s="296"/>
      <c r="G101" s="296"/>
      <c r="H101" s="296"/>
      <c r="I101" s="296"/>
      <c r="K101" s="296"/>
      <c r="L101" s="296"/>
      <c r="M101" s="296"/>
      <c r="N101" s="296"/>
      <c r="O101" s="296"/>
      <c r="P101" s="296"/>
      <c r="Q101" s="296"/>
    </row>
    <row r="102" spans="3:17" s="282" customFormat="1" x14ac:dyDescent="0.3">
      <c r="C102" s="296"/>
      <c r="D102" s="296"/>
      <c r="E102" s="296"/>
      <c r="F102" s="296"/>
      <c r="G102" s="296"/>
      <c r="H102" s="296"/>
      <c r="I102" s="296"/>
      <c r="K102" s="296"/>
      <c r="L102" s="296"/>
      <c r="M102" s="296"/>
      <c r="N102" s="296"/>
      <c r="O102" s="296"/>
      <c r="P102" s="296"/>
      <c r="Q102" s="296"/>
    </row>
    <row r="103" spans="3:17" s="282" customFormat="1" x14ac:dyDescent="0.3">
      <c r="C103" s="296"/>
      <c r="D103" s="296"/>
      <c r="E103" s="296"/>
      <c r="F103" s="296"/>
      <c r="G103" s="296"/>
      <c r="H103" s="296"/>
      <c r="I103" s="296"/>
      <c r="K103" s="296"/>
      <c r="L103" s="296"/>
      <c r="M103" s="296"/>
      <c r="N103" s="296"/>
      <c r="O103" s="296"/>
      <c r="P103" s="296"/>
      <c r="Q103" s="296"/>
    </row>
    <row r="104" spans="3:17" s="282" customFormat="1" x14ac:dyDescent="0.3">
      <c r="C104" s="296"/>
      <c r="D104" s="296"/>
      <c r="E104" s="296"/>
      <c r="F104" s="296"/>
      <c r="G104" s="296"/>
      <c r="H104" s="296"/>
      <c r="I104" s="296"/>
      <c r="K104" s="296"/>
      <c r="L104" s="296"/>
      <c r="M104" s="296"/>
      <c r="N104" s="296"/>
      <c r="O104" s="296"/>
      <c r="P104" s="296"/>
      <c r="Q104" s="296"/>
    </row>
    <row r="105" spans="3:17" s="282" customFormat="1" x14ac:dyDescent="0.3">
      <c r="C105" s="296"/>
      <c r="D105" s="296"/>
      <c r="E105" s="296"/>
      <c r="F105" s="296"/>
      <c r="G105" s="296"/>
      <c r="H105" s="296"/>
      <c r="I105" s="296"/>
      <c r="K105" s="296"/>
      <c r="L105" s="296"/>
      <c r="M105" s="296"/>
      <c r="N105" s="296"/>
      <c r="O105" s="296"/>
      <c r="P105" s="296"/>
      <c r="Q105" s="296"/>
    </row>
    <row r="106" spans="3:17" s="282" customFormat="1" x14ac:dyDescent="0.3">
      <c r="C106" s="296"/>
      <c r="D106" s="296"/>
      <c r="E106" s="296"/>
      <c r="F106" s="296"/>
      <c r="G106" s="296"/>
      <c r="H106" s="296"/>
      <c r="I106" s="296"/>
      <c r="K106" s="296"/>
      <c r="L106" s="296"/>
      <c r="M106" s="296"/>
      <c r="N106" s="296"/>
      <c r="O106" s="296"/>
      <c r="P106" s="296"/>
      <c r="Q106" s="296"/>
    </row>
    <row r="107" spans="3:17" s="282" customFormat="1" x14ac:dyDescent="0.3">
      <c r="C107" s="296"/>
      <c r="D107" s="296"/>
      <c r="E107" s="296"/>
      <c r="F107" s="296"/>
      <c r="G107" s="296"/>
      <c r="H107" s="296"/>
      <c r="I107" s="296"/>
      <c r="K107" s="296"/>
      <c r="L107" s="296"/>
      <c r="M107" s="296"/>
      <c r="N107" s="296"/>
      <c r="O107" s="296"/>
      <c r="P107" s="296"/>
      <c r="Q107" s="296"/>
    </row>
    <row r="108" spans="3:17" s="282" customFormat="1" x14ac:dyDescent="0.3">
      <c r="C108" s="296"/>
      <c r="D108" s="296"/>
      <c r="E108" s="296"/>
      <c r="F108" s="296"/>
      <c r="G108" s="296"/>
      <c r="H108" s="296"/>
      <c r="I108" s="296"/>
      <c r="K108" s="296"/>
      <c r="L108" s="296"/>
      <c r="M108" s="296"/>
      <c r="N108" s="296"/>
      <c r="O108" s="296"/>
      <c r="P108" s="296"/>
      <c r="Q108" s="296"/>
    </row>
    <row r="109" spans="3:17" s="282" customFormat="1" x14ac:dyDescent="0.3">
      <c r="C109" s="296"/>
      <c r="D109" s="296"/>
      <c r="E109" s="296"/>
      <c r="F109" s="296"/>
      <c r="G109" s="296"/>
      <c r="H109" s="296"/>
      <c r="I109" s="296"/>
      <c r="K109" s="296"/>
      <c r="L109" s="296"/>
      <c r="M109" s="296"/>
      <c r="N109" s="296"/>
      <c r="O109" s="296"/>
      <c r="P109" s="296"/>
      <c r="Q109" s="296"/>
    </row>
    <row r="110" spans="3:17" s="282" customFormat="1" x14ac:dyDescent="0.3">
      <c r="C110" s="296"/>
      <c r="D110" s="296"/>
      <c r="E110" s="296"/>
      <c r="F110" s="296"/>
      <c r="G110" s="296"/>
      <c r="H110" s="296"/>
      <c r="I110" s="296"/>
      <c r="K110" s="296"/>
      <c r="L110" s="296"/>
      <c r="M110" s="296"/>
      <c r="N110" s="296"/>
      <c r="O110" s="296"/>
      <c r="P110" s="296"/>
      <c r="Q110" s="296"/>
    </row>
    <row r="111" spans="3:17" s="282" customFormat="1" x14ac:dyDescent="0.3">
      <c r="C111" s="296"/>
      <c r="D111" s="296"/>
      <c r="E111" s="296"/>
      <c r="F111" s="296"/>
      <c r="G111" s="296"/>
      <c r="H111" s="296"/>
      <c r="I111" s="296"/>
      <c r="K111" s="296"/>
      <c r="L111" s="296"/>
      <c r="M111" s="296"/>
      <c r="N111" s="296"/>
      <c r="O111" s="296"/>
      <c r="P111" s="296"/>
      <c r="Q111" s="296"/>
    </row>
    <row r="112" spans="3:17" s="282" customFormat="1" x14ac:dyDescent="0.3">
      <c r="C112" s="296"/>
      <c r="D112" s="296"/>
      <c r="E112" s="296"/>
      <c r="F112" s="296"/>
      <c r="G112" s="296"/>
      <c r="H112" s="296"/>
      <c r="I112" s="296"/>
      <c r="K112" s="296"/>
      <c r="L112" s="296"/>
      <c r="M112" s="296"/>
      <c r="N112" s="296"/>
      <c r="O112" s="296"/>
      <c r="P112" s="296"/>
      <c r="Q112" s="296"/>
    </row>
    <row r="113" spans="3:17" s="282" customFormat="1" x14ac:dyDescent="0.3">
      <c r="C113" s="296"/>
      <c r="D113" s="296"/>
      <c r="E113" s="296"/>
      <c r="F113" s="296"/>
      <c r="G113" s="296"/>
      <c r="H113" s="296"/>
      <c r="I113" s="296"/>
      <c r="K113" s="296"/>
      <c r="L113" s="296"/>
      <c r="M113" s="296"/>
      <c r="N113" s="296"/>
      <c r="O113" s="296"/>
      <c r="P113" s="296"/>
      <c r="Q113" s="296"/>
    </row>
    <row r="114" spans="3:17" s="282" customFormat="1" x14ac:dyDescent="0.3">
      <c r="C114" s="296"/>
      <c r="D114" s="296"/>
      <c r="E114" s="296"/>
      <c r="F114" s="296"/>
      <c r="G114" s="296"/>
      <c r="H114" s="296"/>
      <c r="I114" s="296"/>
      <c r="K114" s="296"/>
      <c r="L114" s="296"/>
      <c r="M114" s="296"/>
      <c r="N114" s="296"/>
      <c r="O114" s="296"/>
      <c r="P114" s="296"/>
      <c r="Q114" s="296"/>
    </row>
    <row r="115" spans="3:17" s="282" customFormat="1" x14ac:dyDescent="0.3">
      <c r="C115" s="296"/>
      <c r="D115" s="296"/>
      <c r="E115" s="296"/>
      <c r="F115" s="296"/>
      <c r="G115" s="296"/>
      <c r="H115" s="296"/>
      <c r="I115" s="296"/>
      <c r="K115" s="296"/>
      <c r="L115" s="296"/>
      <c r="M115" s="296"/>
      <c r="N115" s="296"/>
      <c r="O115" s="296"/>
      <c r="P115" s="296"/>
      <c r="Q115" s="296"/>
    </row>
    <row r="116" spans="3:17" s="282" customFormat="1" x14ac:dyDescent="0.3">
      <c r="C116" s="296"/>
      <c r="D116" s="296"/>
      <c r="E116" s="296"/>
      <c r="F116" s="296"/>
      <c r="G116" s="296"/>
      <c r="H116" s="296"/>
      <c r="I116" s="296"/>
      <c r="K116" s="296"/>
      <c r="L116" s="296"/>
      <c r="M116" s="296"/>
      <c r="N116" s="296"/>
      <c r="O116" s="296"/>
      <c r="P116" s="296"/>
      <c r="Q116" s="296"/>
    </row>
    <row r="117" spans="3:17" s="282" customFormat="1" x14ac:dyDescent="0.3">
      <c r="C117" s="296"/>
      <c r="D117" s="296"/>
      <c r="E117" s="296"/>
      <c r="F117" s="296"/>
      <c r="G117" s="296"/>
      <c r="H117" s="296"/>
      <c r="I117" s="296"/>
      <c r="K117" s="296"/>
      <c r="L117" s="296"/>
      <c r="M117" s="296"/>
      <c r="N117" s="296"/>
      <c r="O117" s="296"/>
      <c r="P117" s="296"/>
      <c r="Q117" s="296"/>
    </row>
    <row r="118" spans="3:17" s="282" customFormat="1" x14ac:dyDescent="0.3">
      <c r="C118" s="296"/>
      <c r="D118" s="296"/>
      <c r="E118" s="296"/>
      <c r="F118" s="296"/>
      <c r="G118" s="296"/>
      <c r="H118" s="296"/>
      <c r="I118" s="296"/>
      <c r="K118" s="296"/>
      <c r="L118" s="296"/>
      <c r="M118" s="296"/>
      <c r="N118" s="296"/>
      <c r="O118" s="296"/>
      <c r="P118" s="296"/>
      <c r="Q118" s="296"/>
    </row>
    <row r="119" spans="3:17" s="282" customFormat="1" x14ac:dyDescent="0.3">
      <c r="C119" s="296"/>
      <c r="D119" s="296"/>
      <c r="E119" s="296"/>
      <c r="F119" s="296"/>
      <c r="G119" s="296"/>
      <c r="H119" s="296"/>
      <c r="I119" s="296"/>
      <c r="K119" s="296"/>
      <c r="L119" s="296"/>
      <c r="M119" s="296"/>
      <c r="N119" s="296"/>
      <c r="O119" s="296"/>
      <c r="P119" s="296"/>
      <c r="Q119" s="296"/>
    </row>
    <row r="120" spans="3:17" s="282" customFormat="1" x14ac:dyDescent="0.3">
      <c r="C120" s="296"/>
      <c r="D120" s="296"/>
      <c r="E120" s="296"/>
      <c r="F120" s="296"/>
      <c r="G120" s="296"/>
      <c r="H120" s="296"/>
      <c r="I120" s="296"/>
      <c r="K120" s="296"/>
      <c r="L120" s="296"/>
      <c r="M120" s="296"/>
      <c r="N120" s="296"/>
      <c r="O120" s="296"/>
      <c r="P120" s="296"/>
      <c r="Q120" s="296"/>
    </row>
    <row r="121" spans="3:17" s="282" customFormat="1" x14ac:dyDescent="0.3">
      <c r="C121" s="296"/>
      <c r="D121" s="296"/>
      <c r="E121" s="296"/>
      <c r="F121" s="296"/>
      <c r="G121" s="296"/>
      <c r="H121" s="296"/>
      <c r="I121" s="296"/>
      <c r="K121" s="296"/>
      <c r="L121" s="296"/>
      <c r="M121" s="296"/>
      <c r="N121" s="296"/>
      <c r="O121" s="296"/>
      <c r="P121" s="296"/>
      <c r="Q121" s="296"/>
    </row>
    <row r="122" spans="3:17" s="282" customFormat="1" x14ac:dyDescent="0.3">
      <c r="C122" s="296"/>
      <c r="D122" s="296"/>
      <c r="E122" s="296"/>
      <c r="F122" s="296"/>
      <c r="G122" s="296"/>
      <c r="H122" s="296"/>
      <c r="I122" s="296"/>
      <c r="K122" s="296"/>
      <c r="L122" s="296"/>
      <c r="M122" s="296"/>
      <c r="N122" s="296"/>
      <c r="O122" s="296"/>
      <c r="P122" s="296"/>
      <c r="Q122" s="296"/>
    </row>
    <row r="123" spans="3:17" s="282" customFormat="1" x14ac:dyDescent="0.3">
      <c r="C123" s="296"/>
      <c r="D123" s="296"/>
      <c r="E123" s="296"/>
      <c r="F123" s="296"/>
      <c r="G123" s="296"/>
      <c r="H123" s="296"/>
      <c r="I123" s="296"/>
      <c r="K123" s="296"/>
      <c r="L123" s="296"/>
      <c r="M123" s="296"/>
      <c r="N123" s="296"/>
      <c r="O123" s="296"/>
      <c r="P123" s="296"/>
      <c r="Q123" s="296"/>
    </row>
    <row r="124" spans="3:17" s="282" customFormat="1" x14ac:dyDescent="0.3">
      <c r="C124" s="296"/>
      <c r="D124" s="296"/>
      <c r="E124" s="296"/>
      <c r="F124" s="296"/>
      <c r="G124" s="296"/>
      <c r="H124" s="296"/>
      <c r="I124" s="296"/>
      <c r="K124" s="296"/>
      <c r="L124" s="296"/>
      <c r="M124" s="296"/>
      <c r="N124" s="296"/>
      <c r="O124" s="296"/>
      <c r="P124" s="296"/>
      <c r="Q124" s="296"/>
    </row>
    <row r="125" spans="3:17" s="282" customFormat="1" x14ac:dyDescent="0.3">
      <c r="C125" s="296"/>
      <c r="D125" s="296"/>
      <c r="E125" s="296"/>
      <c r="F125" s="296"/>
      <c r="G125" s="296"/>
      <c r="H125" s="296"/>
      <c r="I125" s="296"/>
      <c r="K125" s="296"/>
      <c r="L125" s="296"/>
      <c r="M125" s="296"/>
      <c r="N125" s="296"/>
      <c r="O125" s="296"/>
      <c r="P125" s="296"/>
      <c r="Q125" s="296"/>
    </row>
    <row r="126" spans="3:17" s="282" customFormat="1" x14ac:dyDescent="0.3">
      <c r="C126" s="296"/>
      <c r="D126" s="296"/>
      <c r="E126" s="296"/>
      <c r="F126" s="296"/>
      <c r="G126" s="296"/>
      <c r="H126" s="296"/>
      <c r="I126" s="296"/>
      <c r="K126" s="296"/>
      <c r="L126" s="296"/>
      <c r="M126" s="296"/>
      <c r="N126" s="296"/>
      <c r="O126" s="296"/>
      <c r="P126" s="296"/>
      <c r="Q126" s="296"/>
    </row>
    <row r="127" spans="3:17" s="282" customFormat="1" x14ac:dyDescent="0.3">
      <c r="C127" s="296"/>
      <c r="D127" s="296"/>
      <c r="E127" s="296"/>
      <c r="F127" s="296"/>
      <c r="G127" s="296"/>
      <c r="H127" s="296"/>
      <c r="I127" s="296"/>
      <c r="K127" s="296"/>
      <c r="L127" s="296"/>
      <c r="M127" s="296"/>
      <c r="N127" s="296"/>
      <c r="O127" s="296"/>
      <c r="P127" s="296"/>
      <c r="Q127" s="296"/>
    </row>
    <row r="128" spans="3:17" s="282" customFormat="1" x14ac:dyDescent="0.3">
      <c r="C128" s="296"/>
      <c r="D128" s="296"/>
      <c r="E128" s="296"/>
      <c r="F128" s="296"/>
      <c r="G128" s="296"/>
      <c r="H128" s="296"/>
      <c r="I128" s="296"/>
      <c r="K128" s="296"/>
      <c r="L128" s="296"/>
      <c r="M128" s="296"/>
      <c r="N128" s="296"/>
      <c r="O128" s="296"/>
      <c r="P128" s="296"/>
      <c r="Q128" s="296"/>
    </row>
    <row r="129" spans="3:17" s="282" customFormat="1" x14ac:dyDescent="0.3">
      <c r="C129" s="296"/>
      <c r="D129" s="296"/>
      <c r="E129" s="296"/>
      <c r="F129" s="296"/>
      <c r="G129" s="296"/>
      <c r="H129" s="296"/>
      <c r="I129" s="296"/>
      <c r="K129" s="296"/>
      <c r="L129" s="296"/>
      <c r="M129" s="296"/>
      <c r="N129" s="296"/>
      <c r="O129" s="296"/>
      <c r="P129" s="296"/>
      <c r="Q129" s="296"/>
    </row>
    <row r="130" spans="3:17" s="282" customFormat="1" x14ac:dyDescent="0.3">
      <c r="C130" s="296"/>
      <c r="D130" s="296"/>
      <c r="E130" s="296"/>
      <c r="F130" s="296"/>
      <c r="G130" s="296"/>
      <c r="H130" s="296"/>
      <c r="I130" s="296"/>
      <c r="K130" s="296"/>
      <c r="L130" s="296"/>
      <c r="M130" s="296"/>
      <c r="N130" s="296"/>
      <c r="O130" s="296"/>
      <c r="P130" s="296"/>
      <c r="Q130" s="296"/>
    </row>
    <row r="131" spans="3:17" s="282" customFormat="1" x14ac:dyDescent="0.3">
      <c r="C131" s="296"/>
      <c r="D131" s="296"/>
      <c r="E131" s="296"/>
      <c r="F131" s="296"/>
      <c r="G131" s="296"/>
      <c r="H131" s="296"/>
      <c r="I131" s="296"/>
      <c r="K131" s="296"/>
      <c r="L131" s="296"/>
      <c r="M131" s="296"/>
      <c r="N131" s="296"/>
      <c r="O131" s="296"/>
      <c r="P131" s="296"/>
      <c r="Q131" s="296"/>
    </row>
    <row r="132" spans="3:17" s="282" customFormat="1" x14ac:dyDescent="0.3">
      <c r="C132" s="296"/>
      <c r="D132" s="296"/>
      <c r="E132" s="296"/>
      <c r="F132" s="296"/>
      <c r="G132" s="296"/>
      <c r="H132" s="296"/>
      <c r="I132" s="296"/>
      <c r="K132" s="296"/>
      <c r="L132" s="296"/>
      <c r="M132" s="296"/>
      <c r="N132" s="296"/>
      <c r="O132" s="296"/>
      <c r="P132" s="296"/>
      <c r="Q132" s="296"/>
    </row>
    <row r="133" spans="3:17" s="282" customFormat="1" x14ac:dyDescent="0.3">
      <c r="C133" s="296"/>
      <c r="D133" s="296"/>
      <c r="E133" s="296"/>
      <c r="F133" s="296"/>
      <c r="G133" s="296"/>
      <c r="H133" s="296"/>
      <c r="I133" s="296"/>
      <c r="K133" s="296"/>
      <c r="L133" s="296"/>
      <c r="M133" s="296"/>
      <c r="N133" s="296"/>
      <c r="O133" s="296"/>
      <c r="P133" s="296"/>
      <c r="Q133" s="296"/>
    </row>
    <row r="134" spans="3:17" s="282" customFormat="1" x14ac:dyDescent="0.3">
      <c r="C134" s="296"/>
      <c r="D134" s="296"/>
      <c r="E134" s="296"/>
      <c r="F134" s="296"/>
      <c r="G134" s="296"/>
      <c r="H134" s="296"/>
      <c r="I134" s="296"/>
      <c r="K134" s="296"/>
      <c r="L134" s="296"/>
      <c r="M134" s="296"/>
      <c r="N134" s="296"/>
      <c r="O134" s="296"/>
      <c r="P134" s="296"/>
      <c r="Q134" s="296"/>
    </row>
    <row r="135" spans="3:17" s="282" customFormat="1" x14ac:dyDescent="0.3">
      <c r="C135" s="296"/>
      <c r="D135" s="296"/>
      <c r="E135" s="296"/>
      <c r="F135" s="296"/>
      <c r="G135" s="296"/>
      <c r="H135" s="296"/>
      <c r="I135" s="296"/>
      <c r="K135" s="296"/>
      <c r="L135" s="296"/>
      <c r="M135" s="296"/>
      <c r="N135" s="296"/>
      <c r="O135" s="296"/>
      <c r="P135" s="296"/>
      <c r="Q135" s="296"/>
    </row>
    <row r="136" spans="3:17" s="282" customFormat="1" x14ac:dyDescent="0.3">
      <c r="C136" s="296"/>
      <c r="D136" s="296"/>
      <c r="E136" s="296"/>
      <c r="F136" s="296"/>
      <c r="G136" s="296"/>
      <c r="H136" s="296"/>
      <c r="I136" s="296"/>
      <c r="K136" s="296"/>
      <c r="L136" s="296"/>
      <c r="M136" s="296"/>
      <c r="N136" s="296"/>
      <c r="O136" s="296"/>
      <c r="P136" s="296"/>
      <c r="Q136" s="296"/>
    </row>
    <row r="137" spans="3:17" s="282" customFormat="1" x14ac:dyDescent="0.3">
      <c r="C137" s="296"/>
      <c r="D137" s="296"/>
      <c r="E137" s="296"/>
      <c r="F137" s="296"/>
      <c r="G137" s="296"/>
      <c r="H137" s="296"/>
      <c r="I137" s="296"/>
      <c r="K137" s="296"/>
      <c r="L137" s="296"/>
      <c r="M137" s="296"/>
      <c r="N137" s="296"/>
      <c r="O137" s="296"/>
      <c r="P137" s="296"/>
      <c r="Q137" s="296"/>
    </row>
    <row r="138" spans="3:17" s="282" customFormat="1" x14ac:dyDescent="0.3">
      <c r="C138" s="296"/>
      <c r="D138" s="296"/>
      <c r="E138" s="296"/>
      <c r="F138" s="296"/>
      <c r="G138" s="296"/>
      <c r="H138" s="296"/>
      <c r="I138" s="296"/>
      <c r="K138" s="296"/>
      <c r="L138" s="296"/>
      <c r="M138" s="296"/>
      <c r="N138" s="296"/>
      <c r="O138" s="296"/>
      <c r="P138" s="296"/>
      <c r="Q138" s="296"/>
    </row>
    <row r="139" spans="3:17" s="282" customFormat="1" x14ac:dyDescent="0.3">
      <c r="C139" s="296"/>
      <c r="D139" s="296"/>
      <c r="E139" s="296"/>
      <c r="F139" s="296"/>
      <c r="G139" s="296"/>
      <c r="H139" s="296"/>
      <c r="I139" s="296"/>
      <c r="K139" s="296"/>
      <c r="L139" s="296"/>
      <c r="M139" s="296"/>
      <c r="N139" s="296"/>
      <c r="O139" s="296"/>
      <c r="P139" s="296"/>
      <c r="Q139" s="296"/>
    </row>
    <row r="140" spans="3:17" s="282" customFormat="1" x14ac:dyDescent="0.3">
      <c r="C140" s="296"/>
      <c r="D140" s="296"/>
      <c r="E140" s="296"/>
      <c r="F140" s="296"/>
      <c r="G140" s="296"/>
      <c r="H140" s="296"/>
      <c r="I140" s="296"/>
      <c r="K140" s="296"/>
      <c r="L140" s="296"/>
      <c r="M140" s="296"/>
      <c r="N140" s="296"/>
      <c r="O140" s="296"/>
      <c r="P140" s="296"/>
      <c r="Q140" s="296"/>
    </row>
    <row r="141" spans="3:17" s="282" customFormat="1" x14ac:dyDescent="0.3">
      <c r="C141" s="296"/>
      <c r="D141" s="296"/>
      <c r="E141" s="296"/>
      <c r="F141" s="296"/>
      <c r="G141" s="296"/>
      <c r="H141" s="296"/>
      <c r="I141" s="296"/>
      <c r="K141" s="296"/>
      <c r="L141" s="296"/>
      <c r="M141" s="296"/>
      <c r="N141" s="296"/>
      <c r="O141" s="296"/>
      <c r="P141" s="296"/>
      <c r="Q141" s="296"/>
    </row>
    <row r="142" spans="3:17" s="282" customFormat="1" x14ac:dyDescent="0.3">
      <c r="C142" s="296"/>
      <c r="D142" s="296"/>
      <c r="E142" s="296"/>
      <c r="F142" s="296"/>
      <c r="G142" s="296"/>
      <c r="H142" s="296"/>
      <c r="I142" s="296"/>
      <c r="K142" s="296"/>
      <c r="L142" s="296"/>
      <c r="M142" s="296"/>
      <c r="N142" s="296"/>
      <c r="O142" s="296"/>
      <c r="P142" s="296"/>
      <c r="Q142" s="296"/>
    </row>
    <row r="143" spans="3:17" s="282" customFormat="1" x14ac:dyDescent="0.3">
      <c r="C143" s="296"/>
      <c r="D143" s="296"/>
      <c r="E143" s="296"/>
      <c r="F143" s="296"/>
      <c r="G143" s="296"/>
      <c r="H143" s="296"/>
      <c r="I143" s="296"/>
      <c r="K143" s="296"/>
      <c r="L143" s="296"/>
      <c r="M143" s="296"/>
      <c r="N143" s="296"/>
      <c r="O143" s="296"/>
      <c r="P143" s="296"/>
      <c r="Q143" s="296"/>
    </row>
    <row r="144" spans="3:17" s="282" customFormat="1" x14ac:dyDescent="0.3">
      <c r="C144" s="296"/>
      <c r="D144" s="296"/>
      <c r="E144" s="296"/>
      <c r="F144" s="296"/>
      <c r="G144" s="296"/>
      <c r="H144" s="296"/>
      <c r="I144" s="296"/>
      <c r="K144" s="296"/>
      <c r="L144" s="296"/>
      <c r="M144" s="296"/>
      <c r="N144" s="296"/>
      <c r="O144" s="296"/>
      <c r="P144" s="296"/>
      <c r="Q144" s="296"/>
    </row>
    <row r="145" spans="2:17" s="282" customFormat="1" x14ac:dyDescent="0.3">
      <c r="C145" s="296"/>
      <c r="D145" s="296"/>
      <c r="E145" s="296"/>
      <c r="F145" s="296"/>
      <c r="G145" s="296"/>
      <c r="H145" s="296"/>
      <c r="I145" s="296"/>
      <c r="K145" s="296"/>
      <c r="L145" s="296"/>
      <c r="M145" s="296"/>
      <c r="N145" s="296"/>
      <c r="O145" s="296"/>
      <c r="P145" s="296"/>
      <c r="Q145" s="296"/>
    </row>
    <row r="146" spans="2:17" s="282" customFormat="1" x14ac:dyDescent="0.3">
      <c r="C146" s="296"/>
      <c r="D146" s="296"/>
      <c r="E146" s="296"/>
      <c r="F146" s="296"/>
      <c r="G146" s="296"/>
      <c r="H146" s="296"/>
      <c r="I146" s="296"/>
      <c r="K146" s="296"/>
      <c r="L146" s="296"/>
      <c r="M146" s="296"/>
      <c r="N146" s="296"/>
      <c r="O146" s="296"/>
      <c r="P146" s="296"/>
      <c r="Q146" s="296"/>
    </row>
    <row r="147" spans="2:17" s="282" customFormat="1" x14ac:dyDescent="0.3">
      <c r="B147" s="296"/>
      <c r="C147" s="296"/>
      <c r="D147" s="296"/>
      <c r="E147" s="296"/>
      <c r="F147" s="296"/>
      <c r="G147" s="296"/>
      <c r="H147" s="296"/>
      <c r="I147" s="296"/>
    </row>
    <row r="148" spans="2:17" s="282" customFormat="1" x14ac:dyDescent="0.3">
      <c r="B148" s="296"/>
      <c r="C148" s="296"/>
      <c r="D148" s="296"/>
      <c r="E148" s="296"/>
      <c r="F148" s="296"/>
      <c r="G148" s="296"/>
      <c r="H148" s="296"/>
      <c r="I148" s="296"/>
    </row>
    <row r="149" spans="2:17" s="282" customFormat="1" x14ac:dyDescent="0.3">
      <c r="B149" s="296"/>
      <c r="C149" s="296"/>
      <c r="D149" s="296"/>
      <c r="E149" s="296"/>
      <c r="F149" s="296"/>
      <c r="G149" s="296"/>
      <c r="H149" s="296"/>
      <c r="I149" s="296"/>
    </row>
    <row r="150" spans="2:17" s="282" customFormat="1" x14ac:dyDescent="0.3">
      <c r="B150" s="296"/>
      <c r="C150" s="296"/>
      <c r="D150" s="296"/>
      <c r="E150" s="296"/>
      <c r="F150" s="296"/>
      <c r="G150" s="296"/>
      <c r="H150" s="296"/>
      <c r="I150" s="296"/>
    </row>
    <row r="151" spans="2:17" s="282" customFormat="1" x14ac:dyDescent="0.3">
      <c r="B151" s="296"/>
      <c r="C151" s="296"/>
      <c r="D151" s="296"/>
      <c r="E151" s="296"/>
      <c r="F151" s="296"/>
      <c r="G151" s="296"/>
      <c r="H151" s="296"/>
      <c r="I151" s="296"/>
    </row>
    <row r="152" spans="2:17" s="282" customFormat="1" x14ac:dyDescent="0.3">
      <c r="B152" s="296"/>
      <c r="C152" s="296"/>
      <c r="D152" s="296"/>
      <c r="E152" s="296"/>
      <c r="F152" s="296"/>
      <c r="G152" s="296"/>
      <c r="H152" s="296"/>
      <c r="I152" s="296"/>
    </row>
    <row r="153" spans="2:17" s="282" customFormat="1" x14ac:dyDescent="0.3">
      <c r="B153" s="296"/>
      <c r="C153" s="296"/>
      <c r="D153" s="296"/>
      <c r="E153" s="296"/>
      <c r="F153" s="296"/>
      <c r="G153" s="296"/>
      <c r="H153" s="296"/>
      <c r="I153" s="296"/>
    </row>
    <row r="154" spans="2:17" s="282" customFormat="1" x14ac:dyDescent="0.3">
      <c r="B154" s="296"/>
      <c r="C154" s="296"/>
      <c r="D154" s="296"/>
      <c r="E154" s="296"/>
      <c r="F154" s="296"/>
      <c r="G154" s="296"/>
      <c r="H154" s="296"/>
      <c r="I154" s="296"/>
    </row>
    <row r="155" spans="2:17" s="282" customFormat="1" x14ac:dyDescent="0.3">
      <c r="B155" s="296"/>
      <c r="C155" s="296"/>
      <c r="D155" s="296"/>
      <c r="E155" s="296"/>
      <c r="F155" s="296"/>
      <c r="G155" s="296"/>
      <c r="H155" s="296"/>
      <c r="I155" s="296"/>
    </row>
    <row r="156" spans="2:17" s="282" customFormat="1" x14ac:dyDescent="0.3">
      <c r="B156" s="296"/>
      <c r="C156" s="296"/>
      <c r="D156" s="296"/>
      <c r="E156" s="296"/>
      <c r="F156" s="296"/>
      <c r="G156" s="296"/>
      <c r="H156" s="296"/>
      <c r="I156" s="296"/>
    </row>
    <row r="157" spans="2:17" s="282" customFormat="1" x14ac:dyDescent="0.3">
      <c r="B157" s="296"/>
      <c r="C157" s="296"/>
      <c r="D157" s="296"/>
      <c r="E157" s="296"/>
      <c r="F157" s="296"/>
      <c r="G157" s="296"/>
      <c r="H157" s="296"/>
      <c r="I157" s="296"/>
    </row>
    <row r="158" spans="2:17" s="282" customFormat="1" x14ac:dyDescent="0.3">
      <c r="B158" s="296"/>
      <c r="C158" s="296"/>
      <c r="D158" s="296"/>
      <c r="E158" s="296"/>
      <c r="F158" s="296"/>
      <c r="G158" s="296"/>
      <c r="H158" s="296"/>
      <c r="I158" s="296"/>
    </row>
    <row r="159" spans="2:17" s="282" customFormat="1" x14ac:dyDescent="0.3">
      <c r="B159" s="296"/>
      <c r="C159" s="296"/>
      <c r="D159" s="296"/>
      <c r="E159" s="296"/>
      <c r="F159" s="296"/>
      <c r="G159" s="296"/>
      <c r="H159" s="296"/>
      <c r="I159" s="296"/>
    </row>
    <row r="160" spans="2:17" s="282" customFormat="1" x14ac:dyDescent="0.3">
      <c r="B160" s="296"/>
      <c r="C160" s="296"/>
      <c r="D160" s="296"/>
      <c r="E160" s="296"/>
      <c r="F160" s="296"/>
      <c r="G160" s="296"/>
      <c r="H160" s="296"/>
      <c r="I160" s="296"/>
    </row>
    <row r="161" spans="2:9" s="282" customFormat="1" x14ac:dyDescent="0.3">
      <c r="B161" s="296"/>
      <c r="C161" s="296"/>
      <c r="D161" s="296"/>
      <c r="E161" s="296"/>
      <c r="F161" s="296"/>
      <c r="G161" s="296"/>
      <c r="H161" s="296"/>
      <c r="I161" s="296"/>
    </row>
    <row r="162" spans="2:9" s="282" customFormat="1" x14ac:dyDescent="0.3">
      <c r="B162" s="296"/>
      <c r="C162" s="296"/>
      <c r="D162" s="296"/>
      <c r="E162" s="296"/>
      <c r="F162" s="296"/>
      <c r="G162" s="296"/>
      <c r="H162" s="296"/>
      <c r="I162" s="296"/>
    </row>
    <row r="163" spans="2:9" s="282" customFormat="1" x14ac:dyDescent="0.3">
      <c r="B163" s="296"/>
      <c r="C163" s="296"/>
      <c r="D163" s="296"/>
      <c r="E163" s="296"/>
      <c r="F163" s="296"/>
      <c r="G163" s="296"/>
      <c r="H163" s="296"/>
      <c r="I163" s="296"/>
    </row>
    <row r="164" spans="2:9" s="282" customFormat="1" x14ac:dyDescent="0.3">
      <c r="B164" s="296"/>
      <c r="C164" s="296"/>
      <c r="D164" s="296"/>
      <c r="E164" s="296"/>
      <c r="F164" s="296"/>
      <c r="G164" s="296"/>
      <c r="H164" s="296"/>
      <c r="I164" s="296"/>
    </row>
    <row r="165" spans="2:9" s="282" customFormat="1" x14ac:dyDescent="0.3">
      <c r="B165" s="296"/>
      <c r="C165" s="296"/>
      <c r="D165" s="296"/>
      <c r="E165" s="296"/>
      <c r="F165" s="296"/>
      <c r="G165" s="296"/>
      <c r="H165" s="296"/>
      <c r="I165" s="296"/>
    </row>
    <row r="166" spans="2:9" s="282" customFormat="1" x14ac:dyDescent="0.3">
      <c r="B166" s="296"/>
      <c r="C166" s="296"/>
      <c r="D166" s="296"/>
      <c r="E166" s="296"/>
      <c r="F166" s="296"/>
      <c r="G166" s="296"/>
      <c r="H166" s="296"/>
      <c r="I166" s="296"/>
    </row>
    <row r="167" spans="2:9" s="282" customFormat="1" x14ac:dyDescent="0.3">
      <c r="B167" s="296"/>
      <c r="C167" s="296"/>
      <c r="D167" s="296"/>
      <c r="E167" s="296"/>
      <c r="F167" s="296"/>
      <c r="G167" s="296"/>
      <c r="H167" s="296"/>
      <c r="I167" s="296"/>
    </row>
    <row r="168" spans="2:9" s="282" customFormat="1" x14ac:dyDescent="0.3">
      <c r="B168" s="296"/>
      <c r="C168" s="296"/>
      <c r="D168" s="296"/>
      <c r="E168" s="296"/>
      <c r="F168" s="296"/>
      <c r="G168" s="296"/>
      <c r="H168" s="296"/>
      <c r="I168" s="296"/>
    </row>
    <row r="169" spans="2:9" s="282" customFormat="1" x14ac:dyDescent="0.3">
      <c r="B169" s="296"/>
      <c r="C169" s="296"/>
      <c r="D169" s="296"/>
      <c r="E169" s="296"/>
      <c r="F169" s="296"/>
      <c r="G169" s="296"/>
      <c r="H169" s="296"/>
      <c r="I169" s="296"/>
    </row>
    <row r="170" spans="2:9" s="282" customFormat="1" x14ac:dyDescent="0.3">
      <c r="B170" s="296"/>
      <c r="C170" s="296"/>
      <c r="D170" s="296"/>
      <c r="E170" s="296"/>
      <c r="F170" s="296"/>
      <c r="G170" s="296"/>
      <c r="H170" s="296"/>
      <c r="I170" s="296"/>
    </row>
    <row r="171" spans="2:9" s="282" customFormat="1" x14ac:dyDescent="0.3">
      <c r="B171" s="296"/>
      <c r="C171" s="296"/>
      <c r="D171" s="296"/>
      <c r="E171" s="296"/>
      <c r="F171" s="296"/>
      <c r="G171" s="296"/>
      <c r="H171" s="296"/>
      <c r="I171" s="296"/>
    </row>
    <row r="172" spans="2:9" s="282" customFormat="1" x14ac:dyDescent="0.3">
      <c r="B172" s="296"/>
      <c r="C172" s="296"/>
      <c r="D172" s="296"/>
      <c r="E172" s="296"/>
      <c r="F172" s="296"/>
      <c r="G172" s="296"/>
      <c r="H172" s="296"/>
      <c r="I172" s="296"/>
    </row>
    <row r="173" spans="2:9" s="282" customFormat="1" x14ac:dyDescent="0.3">
      <c r="B173" s="296"/>
      <c r="C173" s="296"/>
      <c r="D173" s="296"/>
      <c r="E173" s="296"/>
      <c r="F173" s="296"/>
      <c r="G173" s="296"/>
      <c r="H173" s="296"/>
      <c r="I173" s="296"/>
    </row>
    <row r="174" spans="2:9" s="282" customFormat="1" x14ac:dyDescent="0.3">
      <c r="B174" s="296"/>
      <c r="C174" s="296"/>
      <c r="D174" s="296"/>
      <c r="E174" s="296"/>
      <c r="F174" s="296"/>
      <c r="G174" s="296"/>
      <c r="H174" s="296"/>
      <c r="I174" s="296"/>
    </row>
    <row r="175" spans="2:9" s="282" customFormat="1" x14ac:dyDescent="0.3">
      <c r="B175" s="296"/>
      <c r="C175" s="296"/>
      <c r="D175" s="296"/>
      <c r="E175" s="296"/>
      <c r="F175" s="296"/>
      <c r="G175" s="296"/>
      <c r="H175" s="296"/>
      <c r="I175" s="296"/>
    </row>
    <row r="176" spans="2:9" s="282" customFormat="1" x14ac:dyDescent="0.3">
      <c r="B176" s="296"/>
      <c r="C176" s="296"/>
      <c r="D176" s="296"/>
      <c r="E176" s="296"/>
      <c r="F176" s="296"/>
      <c r="G176" s="296"/>
      <c r="H176" s="296"/>
      <c r="I176" s="296"/>
    </row>
    <row r="177" spans="2:9" s="282" customFormat="1" x14ac:dyDescent="0.3">
      <c r="B177" s="296"/>
      <c r="C177" s="296"/>
      <c r="D177" s="296"/>
      <c r="E177" s="296"/>
      <c r="F177" s="296"/>
      <c r="G177" s="296"/>
      <c r="H177" s="296"/>
      <c r="I177" s="296"/>
    </row>
    <row r="178" spans="2:9" s="282" customFormat="1" x14ac:dyDescent="0.3">
      <c r="B178" s="296"/>
      <c r="C178" s="296"/>
      <c r="D178" s="296"/>
      <c r="E178" s="296"/>
      <c r="F178" s="296"/>
      <c r="G178" s="296"/>
      <c r="H178" s="296"/>
      <c r="I178" s="296"/>
    </row>
    <row r="179" spans="2:9" s="282" customFormat="1" x14ac:dyDescent="0.3">
      <c r="B179" s="296"/>
      <c r="C179" s="296"/>
      <c r="D179" s="296"/>
      <c r="E179" s="296"/>
      <c r="F179" s="296"/>
      <c r="G179" s="296"/>
      <c r="H179" s="296"/>
      <c r="I179" s="296"/>
    </row>
    <row r="180" spans="2:9" s="282" customFormat="1" x14ac:dyDescent="0.3">
      <c r="B180" s="296"/>
      <c r="C180" s="296"/>
      <c r="D180" s="296"/>
      <c r="E180" s="296"/>
      <c r="F180" s="296"/>
      <c r="G180" s="296"/>
      <c r="H180" s="296"/>
      <c r="I180" s="296"/>
    </row>
    <row r="181" spans="2:9" s="282" customFormat="1" x14ac:dyDescent="0.3">
      <c r="B181" s="296"/>
      <c r="C181" s="296"/>
      <c r="D181" s="296"/>
      <c r="E181" s="296"/>
      <c r="F181" s="296"/>
      <c r="G181" s="296"/>
      <c r="H181" s="296"/>
      <c r="I181" s="296"/>
    </row>
    <row r="182" spans="2:9" s="282" customFormat="1" x14ac:dyDescent="0.3">
      <c r="B182" s="296"/>
      <c r="C182" s="296"/>
      <c r="D182" s="296"/>
      <c r="E182" s="296"/>
      <c r="F182" s="296"/>
      <c r="G182" s="296"/>
      <c r="H182" s="296"/>
      <c r="I182" s="296"/>
    </row>
    <row r="183" spans="2:9" s="282" customFormat="1" x14ac:dyDescent="0.3">
      <c r="B183" s="296"/>
      <c r="C183" s="296"/>
      <c r="D183" s="296"/>
      <c r="E183" s="296"/>
      <c r="F183" s="296"/>
      <c r="G183" s="296"/>
      <c r="H183" s="296"/>
      <c r="I183" s="296"/>
    </row>
    <row r="184" spans="2:9" s="282" customFormat="1" x14ac:dyDescent="0.3">
      <c r="B184" s="296"/>
      <c r="C184" s="296"/>
      <c r="D184" s="296"/>
      <c r="E184" s="296"/>
      <c r="F184" s="296"/>
      <c r="G184" s="296"/>
      <c r="H184" s="296"/>
      <c r="I184" s="296"/>
    </row>
    <row r="185" spans="2:9" s="282" customFormat="1" x14ac:dyDescent="0.3">
      <c r="B185" s="296"/>
      <c r="C185" s="296"/>
      <c r="D185" s="296"/>
      <c r="E185" s="296"/>
      <c r="F185" s="296"/>
      <c r="G185" s="296"/>
      <c r="H185" s="296"/>
      <c r="I185" s="296"/>
    </row>
    <row r="186" spans="2:9" s="282" customFormat="1" x14ac:dyDescent="0.3">
      <c r="B186" s="296"/>
      <c r="C186" s="296"/>
      <c r="D186" s="296"/>
      <c r="E186" s="296"/>
      <c r="F186" s="296"/>
      <c r="G186" s="296"/>
      <c r="H186" s="296"/>
      <c r="I186" s="296"/>
    </row>
    <row r="187" spans="2:9" s="282" customFormat="1" x14ac:dyDescent="0.3">
      <c r="B187" s="296"/>
      <c r="C187" s="296"/>
      <c r="D187" s="296"/>
      <c r="E187" s="296"/>
      <c r="F187" s="296"/>
      <c r="G187" s="296"/>
      <c r="H187" s="296"/>
      <c r="I187" s="296"/>
    </row>
    <row r="188" spans="2:9" s="282" customFormat="1" x14ac:dyDescent="0.3">
      <c r="B188" s="296"/>
      <c r="C188" s="296"/>
      <c r="D188" s="296"/>
      <c r="E188" s="296"/>
      <c r="F188" s="296"/>
      <c r="G188" s="296"/>
      <c r="H188" s="296"/>
      <c r="I188" s="296"/>
    </row>
    <row r="189" spans="2:9" s="282" customFormat="1" x14ac:dyDescent="0.3">
      <c r="B189" s="296"/>
      <c r="C189" s="296"/>
      <c r="D189" s="296"/>
      <c r="E189" s="296"/>
      <c r="F189" s="296"/>
      <c r="G189" s="296"/>
      <c r="H189" s="296"/>
      <c r="I189" s="296"/>
    </row>
    <row r="190" spans="2:9" s="282" customFormat="1" x14ac:dyDescent="0.3">
      <c r="B190" s="296"/>
      <c r="C190" s="296"/>
      <c r="D190" s="296"/>
      <c r="E190" s="296"/>
      <c r="F190" s="296"/>
      <c r="G190" s="296"/>
      <c r="H190" s="296"/>
      <c r="I190" s="296"/>
    </row>
    <row r="191" spans="2:9" s="282" customFormat="1" x14ac:dyDescent="0.3">
      <c r="B191" s="296"/>
      <c r="C191" s="296"/>
      <c r="D191" s="296"/>
      <c r="E191" s="296"/>
      <c r="F191" s="296"/>
      <c r="G191" s="296"/>
      <c r="H191" s="296"/>
      <c r="I191" s="296"/>
    </row>
    <row r="192" spans="2:9" s="282" customFormat="1" x14ac:dyDescent="0.3">
      <c r="B192" s="296"/>
      <c r="C192" s="296"/>
      <c r="D192" s="296"/>
      <c r="E192" s="296"/>
      <c r="F192" s="296"/>
      <c r="G192" s="296"/>
      <c r="H192" s="296"/>
      <c r="I192" s="296"/>
    </row>
    <row r="193" spans="2:9" s="282" customFormat="1" x14ac:dyDescent="0.3">
      <c r="B193" s="296"/>
      <c r="C193" s="296"/>
      <c r="D193" s="296"/>
      <c r="E193" s="296"/>
      <c r="F193" s="296"/>
      <c r="G193" s="296"/>
      <c r="H193" s="296"/>
      <c r="I193" s="296"/>
    </row>
    <row r="194" spans="2:9" s="282" customFormat="1" x14ac:dyDescent="0.3">
      <c r="B194" s="296"/>
      <c r="C194" s="296"/>
      <c r="D194" s="296"/>
      <c r="E194" s="296"/>
      <c r="F194" s="296"/>
      <c r="G194" s="296"/>
      <c r="H194" s="296"/>
      <c r="I194" s="296"/>
    </row>
    <row r="195" spans="2:9" s="282" customFormat="1" x14ac:dyDescent="0.3">
      <c r="B195" s="296"/>
      <c r="C195" s="296"/>
      <c r="D195" s="296"/>
      <c r="E195" s="296"/>
      <c r="F195" s="296"/>
      <c r="G195" s="296"/>
      <c r="H195" s="296"/>
      <c r="I195" s="296"/>
    </row>
    <row r="196" spans="2:9" s="282" customFormat="1" x14ac:dyDescent="0.3">
      <c r="B196" s="296"/>
      <c r="C196" s="296"/>
      <c r="D196" s="296"/>
      <c r="E196" s="296"/>
      <c r="F196" s="296"/>
      <c r="G196" s="296"/>
      <c r="H196" s="296"/>
      <c r="I196" s="296"/>
    </row>
    <row r="197" spans="2:9" s="282" customFormat="1" x14ac:dyDescent="0.3">
      <c r="B197" s="296"/>
      <c r="C197" s="296"/>
      <c r="D197" s="296"/>
      <c r="E197" s="296"/>
      <c r="F197" s="296"/>
      <c r="G197" s="296"/>
      <c r="H197" s="296"/>
      <c r="I197" s="296"/>
    </row>
    <row r="198" spans="2:9" s="282" customFormat="1" x14ac:dyDescent="0.3">
      <c r="B198" s="296"/>
      <c r="C198" s="296"/>
      <c r="D198" s="296"/>
      <c r="E198" s="296"/>
      <c r="F198" s="296"/>
      <c r="G198" s="296"/>
      <c r="H198" s="296"/>
      <c r="I198" s="296"/>
    </row>
    <row r="199" spans="2:9" s="282" customFormat="1" x14ac:dyDescent="0.3">
      <c r="B199" s="296"/>
      <c r="C199" s="296"/>
      <c r="D199" s="296"/>
      <c r="E199" s="296"/>
      <c r="F199" s="296"/>
      <c r="G199" s="296"/>
      <c r="H199" s="296"/>
      <c r="I199" s="296"/>
    </row>
    <row r="200" spans="2:9" s="282" customFormat="1" x14ac:dyDescent="0.3">
      <c r="B200" s="296"/>
      <c r="C200" s="296"/>
      <c r="D200" s="296"/>
      <c r="E200" s="296"/>
      <c r="F200" s="296"/>
      <c r="G200" s="296"/>
      <c r="H200" s="296"/>
      <c r="I200" s="296"/>
    </row>
    <row r="201" spans="2:9" s="282" customFormat="1" x14ac:dyDescent="0.3">
      <c r="B201" s="296"/>
      <c r="C201" s="296"/>
      <c r="D201" s="296"/>
      <c r="E201" s="296"/>
      <c r="F201" s="296"/>
      <c r="G201" s="296"/>
      <c r="H201" s="296"/>
      <c r="I201" s="296"/>
    </row>
    <row r="202" spans="2:9" s="282" customFormat="1" x14ac:dyDescent="0.3">
      <c r="B202" s="296"/>
      <c r="C202" s="296"/>
      <c r="D202" s="296"/>
      <c r="E202" s="296"/>
      <c r="F202" s="296"/>
      <c r="G202" s="296"/>
      <c r="H202" s="296"/>
      <c r="I202" s="296"/>
    </row>
    <row r="203" spans="2:9" s="282" customFormat="1" x14ac:dyDescent="0.3">
      <c r="B203" s="296"/>
      <c r="C203" s="296"/>
      <c r="D203" s="296"/>
      <c r="E203" s="296"/>
      <c r="F203" s="296"/>
      <c r="G203" s="296"/>
      <c r="H203" s="296"/>
      <c r="I203" s="296"/>
    </row>
    <row r="204" spans="2:9" s="282" customFormat="1" x14ac:dyDescent="0.3">
      <c r="B204" s="296"/>
      <c r="C204" s="296"/>
      <c r="D204" s="296"/>
      <c r="E204" s="296"/>
      <c r="F204" s="296"/>
      <c r="G204" s="296"/>
      <c r="H204" s="296"/>
      <c r="I204" s="296"/>
    </row>
    <row r="205" spans="2:9" s="282" customFormat="1" x14ac:dyDescent="0.3">
      <c r="B205" s="296"/>
      <c r="C205" s="296"/>
      <c r="D205" s="296"/>
      <c r="E205" s="296"/>
      <c r="F205" s="296"/>
      <c r="G205" s="296"/>
      <c r="H205" s="296"/>
      <c r="I205" s="296"/>
    </row>
    <row r="206" spans="2:9" s="282" customFormat="1" x14ac:dyDescent="0.3">
      <c r="B206" s="296"/>
      <c r="C206" s="296"/>
      <c r="D206" s="296"/>
      <c r="E206" s="296"/>
      <c r="F206" s="296"/>
      <c r="G206" s="296"/>
      <c r="H206" s="296"/>
      <c r="I206" s="296"/>
    </row>
    <row r="207" spans="2:9" s="282" customFormat="1" x14ac:dyDescent="0.3">
      <c r="B207" s="296"/>
      <c r="C207" s="296"/>
      <c r="D207" s="296"/>
      <c r="E207" s="296"/>
      <c r="F207" s="296"/>
      <c r="G207" s="296"/>
      <c r="H207" s="296"/>
      <c r="I207" s="296"/>
    </row>
    <row r="208" spans="2:9" s="282" customFormat="1" x14ac:dyDescent="0.3">
      <c r="B208" s="296"/>
      <c r="C208" s="296"/>
      <c r="D208" s="296"/>
      <c r="E208" s="296"/>
      <c r="F208" s="296"/>
      <c r="G208" s="296"/>
      <c r="H208" s="296"/>
      <c r="I208" s="296"/>
    </row>
    <row r="209" spans="2:9" s="282" customFormat="1" x14ac:dyDescent="0.3">
      <c r="B209" s="296"/>
      <c r="C209" s="296"/>
      <c r="D209" s="296"/>
      <c r="E209" s="296"/>
      <c r="F209" s="296"/>
      <c r="G209" s="296"/>
      <c r="H209" s="296"/>
      <c r="I209" s="296"/>
    </row>
    <row r="210" spans="2:9" s="282" customFormat="1" x14ac:dyDescent="0.3">
      <c r="B210" s="296"/>
      <c r="C210" s="296"/>
      <c r="D210" s="296"/>
      <c r="E210" s="296"/>
      <c r="F210" s="296"/>
      <c r="G210" s="296"/>
      <c r="H210" s="296"/>
      <c r="I210" s="296"/>
    </row>
    <row r="211" spans="2:9" s="282" customFormat="1" x14ac:dyDescent="0.3">
      <c r="B211" s="296"/>
      <c r="C211" s="296"/>
      <c r="D211" s="296"/>
      <c r="E211" s="296"/>
      <c r="F211" s="296"/>
      <c r="G211" s="296"/>
      <c r="H211" s="296"/>
      <c r="I211" s="296"/>
    </row>
    <row r="212" spans="2:9" s="282" customFormat="1" x14ac:dyDescent="0.3">
      <c r="B212" s="296"/>
      <c r="C212" s="296"/>
      <c r="D212" s="296"/>
      <c r="E212" s="296"/>
      <c r="F212" s="296"/>
      <c r="G212" s="296"/>
      <c r="H212" s="296"/>
      <c r="I212" s="296"/>
    </row>
  </sheetData>
  <mergeCells count="114">
    <mergeCell ref="K12:Q12"/>
    <mergeCell ref="K13:Q13"/>
    <mergeCell ref="K14:Q14"/>
    <mergeCell ref="K15:Q15"/>
    <mergeCell ref="K16:Q16"/>
    <mergeCell ref="K18:Q18"/>
    <mergeCell ref="C17:I17"/>
    <mergeCell ref="K17:Q17"/>
    <mergeCell ref="C19:I19"/>
    <mergeCell ref="K19:Q19"/>
    <mergeCell ref="A2:Q2"/>
    <mergeCell ref="C3:I3"/>
    <mergeCell ref="K3:Q3"/>
    <mergeCell ref="C4:I4"/>
    <mergeCell ref="K4:Q4"/>
    <mergeCell ref="C14:I14"/>
    <mergeCell ref="C15:I15"/>
    <mergeCell ref="C16:I16"/>
    <mergeCell ref="C18:I18"/>
    <mergeCell ref="C5:I5"/>
    <mergeCell ref="C6:I6"/>
    <mergeCell ref="C7:I7"/>
    <mergeCell ref="C8:I8"/>
    <mergeCell ref="C9:I9"/>
    <mergeCell ref="C10:I10"/>
    <mergeCell ref="C11:I11"/>
    <mergeCell ref="C12:I12"/>
    <mergeCell ref="C13:I13"/>
    <mergeCell ref="K11:Q11"/>
    <mergeCell ref="K5:Q5"/>
    <mergeCell ref="K6:Q6"/>
    <mergeCell ref="K7:Q7"/>
    <mergeCell ref="K8:Q8"/>
    <mergeCell ref="K9:Q9"/>
    <mergeCell ref="K32:Q32"/>
    <mergeCell ref="C33:I33"/>
    <mergeCell ref="K33:Q33"/>
    <mergeCell ref="C22:I22"/>
    <mergeCell ref="C26:I26"/>
    <mergeCell ref="A27:Q27"/>
    <mergeCell ref="C28:I28"/>
    <mergeCell ref="K28:Q28"/>
    <mergeCell ref="C29:I29"/>
    <mergeCell ref="K29:Q29"/>
    <mergeCell ref="C30:I30"/>
    <mergeCell ref="K30:Q30"/>
    <mergeCell ref="K25:Q25"/>
    <mergeCell ref="C24:I24"/>
    <mergeCell ref="K24:Q24"/>
    <mergeCell ref="C25:I25"/>
    <mergeCell ref="K55:Q55"/>
    <mergeCell ref="C50:I50"/>
    <mergeCell ref="C51:I51"/>
    <mergeCell ref="K50:Q50"/>
    <mergeCell ref="C52:I52"/>
    <mergeCell ref="K51:Q51"/>
    <mergeCell ref="C53:I53"/>
    <mergeCell ref="K52:Q52"/>
    <mergeCell ref="K45:Q45"/>
    <mergeCell ref="K46:Q46"/>
    <mergeCell ref="K47:Q47"/>
    <mergeCell ref="K48:Q48"/>
    <mergeCell ref="C46:I46"/>
    <mergeCell ref="C47:I47"/>
    <mergeCell ref="C48:I48"/>
    <mergeCell ref="C49:I49"/>
    <mergeCell ref="K10:Q10"/>
    <mergeCell ref="C45:I45"/>
    <mergeCell ref="A29:A47"/>
    <mergeCell ref="C37:I37"/>
    <mergeCell ref="C38:I38"/>
    <mergeCell ref="C41:I41"/>
    <mergeCell ref="K41:Q41"/>
    <mergeCell ref="C42:I42"/>
    <mergeCell ref="C43:I43"/>
    <mergeCell ref="K44:Q44"/>
    <mergeCell ref="C44:I44"/>
    <mergeCell ref="C39:I39"/>
    <mergeCell ref="K39:Q39"/>
    <mergeCell ref="C40:I40"/>
    <mergeCell ref="K40:Q40"/>
    <mergeCell ref="C34:I34"/>
    <mergeCell ref="K34:Q34"/>
    <mergeCell ref="C35:I35"/>
    <mergeCell ref="K35:Q35"/>
    <mergeCell ref="C36:I36"/>
    <mergeCell ref="K36:Q36"/>
    <mergeCell ref="C31:I31"/>
    <mergeCell ref="K31:Q31"/>
    <mergeCell ref="C32:I32"/>
    <mergeCell ref="A48:A61"/>
    <mergeCell ref="C20:I20"/>
    <mergeCell ref="K20:Q20"/>
    <mergeCell ref="C21:I21"/>
    <mergeCell ref="K21:Q21"/>
    <mergeCell ref="K22:Q22"/>
    <mergeCell ref="C23:I23"/>
    <mergeCell ref="K23:Q23"/>
    <mergeCell ref="C59:I59"/>
    <mergeCell ref="K59:Q59"/>
    <mergeCell ref="C60:I60"/>
    <mergeCell ref="K60:Q60"/>
    <mergeCell ref="C61:I61"/>
    <mergeCell ref="K61:Q61"/>
    <mergeCell ref="C56:I56"/>
    <mergeCell ref="K56:Q56"/>
    <mergeCell ref="C57:I57"/>
    <mergeCell ref="K57:Q57"/>
    <mergeCell ref="C58:I58"/>
    <mergeCell ref="K58:Q58"/>
    <mergeCell ref="C54:I54"/>
    <mergeCell ref="K53:Q53"/>
    <mergeCell ref="K54:Q54"/>
    <mergeCell ref="C55:I55"/>
  </mergeCells>
  <conditionalFormatting sqref="J2:J3">
    <cfRule type="expression" dxfId="10" priority="9">
      <formula>$J2 = "Перенос"</formula>
    </cfRule>
    <cfRule type="expression" dxfId="9" priority="10">
      <formula>OR($J2 = "Готово", $J2 ="Не Делаем")</formula>
    </cfRule>
  </conditionalFormatting>
  <conditionalFormatting sqref="J27:J28">
    <cfRule type="expression" dxfId="8" priority="7">
      <formula>$J27 = "Перенос"</formula>
    </cfRule>
    <cfRule type="expression" dxfId="7" priority="8">
      <formula>OR($J27 = "Готово", $J27 ="Не Делаем")</formula>
    </cfRule>
  </conditionalFormatting>
  <conditionalFormatting sqref="J1:J16 J24:J1048576">
    <cfRule type="expression" dxfId="6" priority="6">
      <formula>OR($J1 = "Готово", $J1 ="Не Делаем")</formula>
    </cfRule>
  </conditionalFormatting>
  <conditionalFormatting sqref="J17">
    <cfRule type="expression" dxfId="5" priority="4">
      <formula>OR($J17 = "Готово", $J17 ="Не Делаем")</formula>
    </cfRule>
  </conditionalFormatting>
  <conditionalFormatting sqref="J18:J21">
    <cfRule type="expression" dxfId="4" priority="2">
      <formula>OR($J18 = "Готово", $J18 ="Не Делаем")</formula>
    </cfRule>
  </conditionalFormatting>
  <conditionalFormatting sqref="J22:J23">
    <cfRule type="expression" dxfId="3" priority="1">
      <formula>OR($J22 = "Готово", $J22 ="Не Делаем")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A1CF6-784C-4061-9A65-464C59776DCC}">
  <sheetPr codeName="Лист8"/>
  <dimension ref="A1:X144"/>
  <sheetViews>
    <sheetView topLeftCell="A16" workbookViewId="0">
      <selection sqref="A1:B2"/>
    </sheetView>
  </sheetViews>
  <sheetFormatPr defaultRowHeight="14.4" x14ac:dyDescent="0.3"/>
  <cols>
    <col min="1" max="1" width="10.109375" bestFit="1" customWidth="1"/>
    <col min="2" max="2" width="14.6640625" customWidth="1"/>
    <col min="3" max="3" width="53.33203125" bestFit="1" customWidth="1"/>
    <col min="10" max="10" width="9.88671875" customWidth="1"/>
    <col min="14" max="14" width="10.33203125" customWidth="1"/>
    <col min="17" max="17" width="9.109375" bestFit="1" customWidth="1"/>
    <col min="18" max="19" width="10.109375" style="282" bestFit="1" customWidth="1"/>
    <col min="20" max="24" width="8.88671875" style="282"/>
  </cols>
  <sheetData>
    <row r="1" spans="1:24" x14ac:dyDescent="0.3">
      <c r="A1" s="538"/>
      <c r="B1" s="540"/>
      <c r="C1" s="522" t="s">
        <v>1</v>
      </c>
      <c r="D1" s="288" t="s">
        <v>0</v>
      </c>
      <c r="E1" s="438">
        <v>33</v>
      </c>
      <c r="F1" s="439"/>
      <c r="G1" s="440"/>
      <c r="H1" s="438">
        <f>E1-1</f>
        <v>32</v>
      </c>
      <c r="I1" s="444"/>
      <c r="J1" s="440"/>
      <c r="K1" s="438">
        <f>H1-1</f>
        <v>31</v>
      </c>
      <c r="L1" s="439"/>
      <c r="M1" s="440"/>
      <c r="N1" s="282"/>
      <c r="O1" s="438" t="s">
        <v>271</v>
      </c>
      <c r="P1" s="439"/>
      <c r="Q1" s="440"/>
    </row>
    <row r="2" spans="1:24" ht="15" thickBot="1" x14ac:dyDescent="0.35">
      <c r="A2" s="539"/>
      <c r="B2" s="541"/>
      <c r="C2" s="523"/>
      <c r="D2" s="289" t="s">
        <v>2</v>
      </c>
      <c r="E2" s="248" t="s">
        <v>3</v>
      </c>
      <c r="F2" s="12" t="s">
        <v>4</v>
      </c>
      <c r="G2" s="249" t="s">
        <v>5</v>
      </c>
      <c r="H2" s="248" t="s">
        <v>3</v>
      </c>
      <c r="I2" s="13" t="s">
        <v>4</v>
      </c>
      <c r="J2" s="249" t="s">
        <v>5</v>
      </c>
      <c r="K2" s="248" t="s">
        <v>3</v>
      </c>
      <c r="L2" s="12" t="s">
        <v>4</v>
      </c>
      <c r="M2" s="249" t="s">
        <v>5</v>
      </c>
      <c r="N2" s="282"/>
      <c r="O2" s="248" t="s">
        <v>3</v>
      </c>
      <c r="P2" s="12" t="s">
        <v>4</v>
      </c>
      <c r="Q2" s="249" t="s">
        <v>5</v>
      </c>
    </row>
    <row r="3" spans="1:24" x14ac:dyDescent="0.3">
      <c r="A3" s="508" t="s">
        <v>272</v>
      </c>
      <c r="B3" s="292" t="s">
        <v>273</v>
      </c>
      <c r="C3" s="510" t="s">
        <v>274</v>
      </c>
      <c r="D3" s="512">
        <v>0.995</v>
      </c>
      <c r="E3" s="524">
        <v>0.995</v>
      </c>
      <c r="F3" s="526">
        <v>0.998</v>
      </c>
      <c r="G3" s="514">
        <f>F3/E3</f>
        <v>1.0030150753768845</v>
      </c>
      <c r="H3" s="528">
        <v>0.995</v>
      </c>
      <c r="I3" s="530">
        <v>0.998</v>
      </c>
      <c r="J3" s="514">
        <f>I3/H3</f>
        <v>1.0030150753768845</v>
      </c>
      <c r="K3" s="524">
        <v>0.995</v>
      </c>
      <c r="L3" s="526">
        <v>0.998</v>
      </c>
      <c r="M3" s="514">
        <f>L3/K3</f>
        <v>1.0030150753768845</v>
      </c>
      <c r="N3" s="282"/>
      <c r="O3" s="516">
        <v>0.99</v>
      </c>
      <c r="P3" s="518">
        <f>AVERAGE(C3,F3,I3,L3)</f>
        <v>0.99799999999999989</v>
      </c>
      <c r="Q3" s="520">
        <f>P3/O3</f>
        <v>1.0080808080808079</v>
      </c>
    </row>
    <row r="4" spans="1:24" ht="15" thickBot="1" x14ac:dyDescent="0.35">
      <c r="A4" s="509"/>
      <c r="B4" s="287" t="s">
        <v>275</v>
      </c>
      <c r="C4" s="511"/>
      <c r="D4" s="513"/>
      <c r="E4" s="525"/>
      <c r="F4" s="527"/>
      <c r="G4" s="515"/>
      <c r="H4" s="529"/>
      <c r="I4" s="531"/>
      <c r="J4" s="515"/>
      <c r="K4" s="525"/>
      <c r="L4" s="527"/>
      <c r="M4" s="515"/>
      <c r="N4" s="282"/>
      <c r="O4" s="517"/>
      <c r="P4" s="519"/>
      <c r="Q4" s="521"/>
    </row>
    <row r="5" spans="1:24" x14ac:dyDescent="0.3">
      <c r="A5" s="282"/>
      <c r="B5" s="282"/>
      <c r="C5" s="282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</row>
    <row r="6" spans="1:24" ht="16.2" thickBot="1" x14ac:dyDescent="0.35">
      <c r="A6" s="451" t="s">
        <v>25</v>
      </c>
      <c r="B6" s="451"/>
      <c r="C6" s="451"/>
      <c r="D6" s="451"/>
      <c r="E6" s="451"/>
      <c r="F6" s="451"/>
      <c r="G6" s="451"/>
      <c r="H6" s="451"/>
      <c r="I6" s="451"/>
      <c r="J6" s="451"/>
      <c r="K6" s="451"/>
      <c r="L6" s="451"/>
      <c r="M6" s="451"/>
      <c r="N6" s="451"/>
      <c r="O6" s="451"/>
      <c r="P6" s="451"/>
      <c r="Q6" s="451"/>
      <c r="R6" s="286"/>
      <c r="S6" s="286"/>
      <c r="T6" s="286"/>
      <c r="U6" s="286"/>
      <c r="V6" s="286"/>
    </row>
    <row r="7" spans="1:24" ht="15" thickBot="1" x14ac:dyDescent="0.35">
      <c r="A7" s="291" t="s">
        <v>26</v>
      </c>
      <c r="B7" s="290" t="s">
        <v>27</v>
      </c>
      <c r="C7" s="434" t="s">
        <v>28</v>
      </c>
      <c r="D7" s="434"/>
      <c r="E7" s="434"/>
      <c r="F7" s="434"/>
      <c r="G7" s="434"/>
      <c r="H7" s="434"/>
      <c r="I7" s="434"/>
      <c r="J7" s="306" t="s">
        <v>29</v>
      </c>
      <c r="K7" s="434" t="s">
        <v>30</v>
      </c>
      <c r="L7" s="434"/>
      <c r="M7" s="434"/>
      <c r="N7" s="434"/>
      <c r="O7" s="434"/>
      <c r="P7" s="434"/>
      <c r="Q7" s="435"/>
      <c r="R7" s="286"/>
      <c r="S7" s="286"/>
      <c r="T7" s="286"/>
      <c r="U7" s="286"/>
      <c r="V7" s="286"/>
    </row>
    <row r="8" spans="1:24" s="1" customFormat="1" x14ac:dyDescent="0.3">
      <c r="A8" s="301">
        <v>43735</v>
      </c>
      <c r="B8" s="302" t="s">
        <v>275</v>
      </c>
      <c r="C8" s="543" t="s">
        <v>276</v>
      </c>
      <c r="D8" s="543"/>
      <c r="E8" s="543"/>
      <c r="F8" s="543"/>
      <c r="G8" s="543"/>
      <c r="H8" s="543"/>
      <c r="I8" s="543"/>
      <c r="J8" s="314" t="s">
        <v>32</v>
      </c>
      <c r="K8" s="542"/>
      <c r="L8" s="542"/>
      <c r="M8" s="542"/>
      <c r="N8" s="542"/>
      <c r="O8" s="542"/>
      <c r="P8" s="542"/>
      <c r="Q8" s="542"/>
      <c r="R8" s="299"/>
      <c r="S8" s="298"/>
      <c r="T8" s="296"/>
      <c r="U8" s="297"/>
      <c r="V8" s="297"/>
      <c r="W8" s="296"/>
      <c r="X8" s="296"/>
    </row>
    <row r="9" spans="1:24" s="1" customFormat="1" x14ac:dyDescent="0.3">
      <c r="A9" s="303">
        <v>43728</v>
      </c>
      <c r="B9" s="300" t="s">
        <v>275</v>
      </c>
      <c r="C9" s="534" t="s">
        <v>277</v>
      </c>
      <c r="D9" s="534"/>
      <c r="E9" s="534"/>
      <c r="F9" s="534"/>
      <c r="G9" s="534"/>
      <c r="H9" s="534"/>
      <c r="I9" s="534"/>
      <c r="J9" s="315" t="s">
        <v>32</v>
      </c>
      <c r="K9" s="532"/>
      <c r="L9" s="532"/>
      <c r="M9" s="532"/>
      <c r="N9" s="532"/>
      <c r="O9" s="532"/>
      <c r="P9" s="532"/>
      <c r="Q9" s="532"/>
      <c r="R9" s="299"/>
      <c r="S9" s="298"/>
      <c r="T9" s="296"/>
      <c r="U9" s="297"/>
      <c r="V9" s="297"/>
      <c r="W9" s="296"/>
      <c r="X9" s="296"/>
    </row>
    <row r="10" spans="1:24" s="1" customFormat="1" x14ac:dyDescent="0.3">
      <c r="A10" s="303">
        <v>43735</v>
      </c>
      <c r="B10" s="300" t="s">
        <v>275</v>
      </c>
      <c r="C10" s="534" t="s">
        <v>278</v>
      </c>
      <c r="D10" s="534"/>
      <c r="E10" s="534"/>
      <c r="F10" s="534"/>
      <c r="G10" s="534"/>
      <c r="H10" s="534"/>
      <c r="I10" s="534"/>
      <c r="J10" s="315" t="s">
        <v>32</v>
      </c>
      <c r="K10" s="532"/>
      <c r="L10" s="532"/>
      <c r="M10" s="532"/>
      <c r="N10" s="532"/>
      <c r="O10" s="532"/>
      <c r="P10" s="532"/>
      <c r="Q10" s="532"/>
      <c r="R10" s="299"/>
      <c r="S10" s="298"/>
      <c r="T10" s="296"/>
      <c r="U10" s="297"/>
      <c r="V10" s="297"/>
      <c r="W10" s="296"/>
      <c r="X10" s="296"/>
    </row>
    <row r="11" spans="1:24" s="1" customFormat="1" x14ac:dyDescent="0.3">
      <c r="A11" s="303">
        <v>43728</v>
      </c>
      <c r="B11" s="300" t="s">
        <v>275</v>
      </c>
      <c r="C11" s="534" t="s">
        <v>279</v>
      </c>
      <c r="D11" s="534"/>
      <c r="E11" s="534"/>
      <c r="F11" s="534"/>
      <c r="G11" s="534"/>
      <c r="H11" s="534"/>
      <c r="I11" s="534"/>
      <c r="J11" s="315" t="s">
        <v>32</v>
      </c>
      <c r="K11" s="532" t="s">
        <v>280</v>
      </c>
      <c r="L11" s="532"/>
      <c r="M11" s="532"/>
      <c r="N11" s="532"/>
      <c r="O11" s="532"/>
      <c r="P11" s="532"/>
      <c r="Q11" s="532"/>
      <c r="R11" s="299"/>
      <c r="S11" s="298"/>
      <c r="T11" s="296"/>
      <c r="U11" s="297"/>
      <c r="V11" s="297"/>
      <c r="W11" s="296"/>
      <c r="X11" s="296"/>
    </row>
    <row r="12" spans="1:24" s="1" customFormat="1" x14ac:dyDescent="0.3">
      <c r="A12" s="303">
        <v>43735</v>
      </c>
      <c r="B12" s="300" t="s">
        <v>275</v>
      </c>
      <c r="C12" s="534" t="s">
        <v>281</v>
      </c>
      <c r="D12" s="534"/>
      <c r="E12" s="534"/>
      <c r="F12" s="534"/>
      <c r="G12" s="534"/>
      <c r="H12" s="534"/>
      <c r="I12" s="534"/>
      <c r="J12" s="315" t="s">
        <v>32</v>
      </c>
      <c r="K12" s="532" t="s">
        <v>282</v>
      </c>
      <c r="L12" s="532"/>
      <c r="M12" s="532"/>
      <c r="N12" s="532"/>
      <c r="O12" s="532"/>
      <c r="P12" s="532"/>
      <c r="Q12" s="532"/>
      <c r="R12" s="299"/>
      <c r="S12" s="298"/>
      <c r="T12" s="296"/>
      <c r="U12" s="297"/>
      <c r="V12" s="297"/>
      <c r="W12" s="296"/>
      <c r="X12" s="296"/>
    </row>
    <row r="13" spans="1:24" s="1" customFormat="1" x14ac:dyDescent="0.3">
      <c r="A13" s="303">
        <v>43685</v>
      </c>
      <c r="B13" s="300" t="s">
        <v>273</v>
      </c>
      <c r="C13" s="534" t="s">
        <v>283</v>
      </c>
      <c r="D13" s="534"/>
      <c r="E13" s="534"/>
      <c r="F13" s="534"/>
      <c r="G13" s="534"/>
      <c r="H13" s="534"/>
      <c r="I13" s="534"/>
      <c r="J13" s="315" t="s">
        <v>59</v>
      </c>
      <c r="K13" s="532"/>
      <c r="L13" s="532"/>
      <c r="M13" s="532"/>
      <c r="N13" s="532"/>
      <c r="O13" s="532"/>
      <c r="P13" s="532"/>
      <c r="Q13" s="532"/>
      <c r="R13" s="299"/>
      <c r="S13" s="298"/>
      <c r="T13" s="296"/>
      <c r="U13" s="297"/>
      <c r="V13" s="297"/>
      <c r="W13" s="296"/>
      <c r="X13" s="296"/>
    </row>
    <row r="14" spans="1:24" s="1" customFormat="1" x14ac:dyDescent="0.3">
      <c r="A14" s="303">
        <v>43677</v>
      </c>
      <c r="B14" s="300" t="s">
        <v>273</v>
      </c>
      <c r="C14" s="534" t="s">
        <v>284</v>
      </c>
      <c r="D14" s="534"/>
      <c r="E14" s="534"/>
      <c r="F14" s="534"/>
      <c r="G14" s="534"/>
      <c r="H14" s="534"/>
      <c r="I14" s="534"/>
      <c r="J14" s="315" t="s">
        <v>59</v>
      </c>
      <c r="K14" s="532" t="s">
        <v>285</v>
      </c>
      <c r="L14" s="532"/>
      <c r="M14" s="532"/>
      <c r="N14" s="532"/>
      <c r="O14" s="532"/>
      <c r="P14" s="532"/>
      <c r="Q14" s="532"/>
      <c r="R14" s="299"/>
      <c r="S14" s="298"/>
      <c r="T14" s="296"/>
      <c r="U14" s="297"/>
      <c r="V14" s="297"/>
      <c r="W14" s="296"/>
      <c r="X14" s="296"/>
    </row>
    <row r="15" spans="1:24" s="1" customFormat="1" x14ac:dyDescent="0.3">
      <c r="A15" s="303">
        <v>43677</v>
      </c>
      <c r="B15" s="300" t="s">
        <v>275</v>
      </c>
      <c r="C15" s="534" t="s">
        <v>286</v>
      </c>
      <c r="D15" s="534"/>
      <c r="E15" s="534"/>
      <c r="F15" s="534"/>
      <c r="G15" s="534"/>
      <c r="H15" s="534"/>
      <c r="I15" s="534"/>
      <c r="J15" s="315" t="s">
        <v>186</v>
      </c>
      <c r="K15" s="532" t="s">
        <v>287</v>
      </c>
      <c r="L15" s="532"/>
      <c r="M15" s="532"/>
      <c r="N15" s="532"/>
      <c r="O15" s="532"/>
      <c r="P15" s="532"/>
      <c r="Q15" s="532"/>
      <c r="R15" s="299"/>
      <c r="S15" s="298"/>
      <c r="T15" s="296"/>
      <c r="U15" s="297"/>
      <c r="V15" s="297"/>
      <c r="W15" s="296"/>
      <c r="X15" s="296"/>
    </row>
    <row r="16" spans="1:24" s="1" customFormat="1" x14ac:dyDescent="0.3">
      <c r="A16" s="303">
        <v>43738</v>
      </c>
      <c r="B16" s="300" t="s">
        <v>273</v>
      </c>
      <c r="C16" s="534" t="s">
        <v>288</v>
      </c>
      <c r="D16" s="534"/>
      <c r="E16" s="534"/>
      <c r="F16" s="534"/>
      <c r="G16" s="534"/>
      <c r="H16" s="534"/>
      <c r="I16" s="534"/>
      <c r="J16" s="315" t="s">
        <v>32</v>
      </c>
      <c r="K16" s="532"/>
      <c r="L16" s="532"/>
      <c r="M16" s="532"/>
      <c r="N16" s="532"/>
      <c r="O16" s="532"/>
      <c r="P16" s="532"/>
      <c r="Q16" s="532"/>
      <c r="R16" s="299"/>
      <c r="S16" s="298"/>
      <c r="T16" s="296"/>
      <c r="U16" s="297"/>
      <c r="V16" s="297"/>
      <c r="W16" s="296"/>
      <c r="X16" s="296"/>
    </row>
    <row r="17" spans="1:24" s="1" customFormat="1" ht="15" thickBot="1" x14ac:dyDescent="0.35">
      <c r="A17" s="304">
        <v>43677</v>
      </c>
      <c r="B17" s="305" t="s">
        <v>273</v>
      </c>
      <c r="C17" s="535" t="s">
        <v>289</v>
      </c>
      <c r="D17" s="535"/>
      <c r="E17" s="535"/>
      <c r="F17" s="535"/>
      <c r="G17" s="535"/>
      <c r="H17" s="535"/>
      <c r="I17" s="535"/>
      <c r="J17" s="316" t="s">
        <v>59</v>
      </c>
      <c r="K17" s="536"/>
      <c r="L17" s="536"/>
      <c r="M17" s="536"/>
      <c r="N17" s="536"/>
      <c r="O17" s="536"/>
      <c r="P17" s="536"/>
      <c r="Q17" s="536"/>
      <c r="R17" s="299"/>
      <c r="S17" s="298"/>
      <c r="T17" s="296"/>
      <c r="U17" s="297"/>
      <c r="V17" s="297"/>
      <c r="W17" s="296"/>
      <c r="X17" s="296"/>
    </row>
    <row r="18" spans="1:24" s="1" customFormat="1" x14ac:dyDescent="0.3">
      <c r="A18" s="296"/>
      <c r="B18" s="296"/>
      <c r="C18" s="296"/>
      <c r="D18" s="296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296"/>
      <c r="P18" s="296"/>
      <c r="Q18" s="296"/>
      <c r="R18" s="296"/>
      <c r="S18" s="296"/>
      <c r="T18" s="296"/>
      <c r="U18" s="296"/>
      <c r="V18" s="296"/>
      <c r="W18" s="296"/>
      <c r="X18" s="296"/>
    </row>
    <row r="19" spans="1:24" ht="16.2" thickBot="1" x14ac:dyDescent="0.35">
      <c r="A19" s="450" t="s">
        <v>42</v>
      </c>
      <c r="B19" s="450"/>
      <c r="C19" s="450"/>
      <c r="D19" s="450"/>
      <c r="E19" s="450"/>
      <c r="F19" s="450"/>
      <c r="G19" s="450"/>
      <c r="H19" s="450"/>
      <c r="I19" s="450"/>
      <c r="J19" s="450"/>
      <c r="K19" s="450"/>
      <c r="L19" s="450"/>
      <c r="M19" s="450"/>
      <c r="N19" s="450"/>
      <c r="O19" s="450"/>
      <c r="P19" s="450"/>
      <c r="Q19" s="450"/>
    </row>
    <row r="20" spans="1:24" ht="15" thickBot="1" x14ac:dyDescent="0.35">
      <c r="A20" s="291" t="s">
        <v>43</v>
      </c>
      <c r="B20" s="290" t="s">
        <v>27</v>
      </c>
      <c r="C20" s="434" t="s">
        <v>28</v>
      </c>
      <c r="D20" s="434"/>
      <c r="E20" s="434"/>
      <c r="F20" s="434"/>
      <c r="G20" s="434"/>
      <c r="H20" s="434"/>
      <c r="I20" s="434"/>
      <c r="J20" s="306" t="s">
        <v>29</v>
      </c>
      <c r="K20" s="434" t="s">
        <v>30</v>
      </c>
      <c r="L20" s="434"/>
      <c r="M20" s="434"/>
      <c r="N20" s="434"/>
      <c r="O20" s="434"/>
      <c r="P20" s="434"/>
      <c r="Q20" s="435"/>
    </row>
    <row r="21" spans="1:24" ht="29.4" customHeight="1" x14ac:dyDescent="0.3">
      <c r="A21" s="493">
        <v>43696</v>
      </c>
      <c r="B21" s="311" t="s">
        <v>275</v>
      </c>
      <c r="C21" s="533" t="s">
        <v>290</v>
      </c>
      <c r="D21" s="533"/>
      <c r="E21" s="533"/>
      <c r="F21" s="533"/>
      <c r="G21" s="533"/>
      <c r="H21" s="533"/>
      <c r="I21" s="533"/>
      <c r="J21" s="308"/>
      <c r="K21" s="544"/>
      <c r="L21" s="544"/>
      <c r="M21" s="544"/>
      <c r="N21" s="544"/>
      <c r="O21" s="544"/>
      <c r="P21" s="544"/>
      <c r="Q21" s="544"/>
    </row>
    <row r="22" spans="1:24" ht="29.4" customHeight="1" x14ac:dyDescent="0.3">
      <c r="A22" s="501"/>
      <c r="B22" s="395" t="s">
        <v>275</v>
      </c>
      <c r="C22" s="534" t="s">
        <v>291</v>
      </c>
      <c r="D22" s="534"/>
      <c r="E22" s="534"/>
      <c r="F22" s="534"/>
      <c r="G22" s="534"/>
      <c r="H22" s="534"/>
      <c r="I22" s="534"/>
      <c r="J22" s="309"/>
      <c r="K22" s="532"/>
      <c r="L22" s="532"/>
      <c r="M22" s="532"/>
      <c r="N22" s="532"/>
      <c r="O22" s="532"/>
      <c r="P22" s="532"/>
      <c r="Q22" s="532"/>
    </row>
    <row r="23" spans="1:24" ht="27" customHeight="1" x14ac:dyDescent="0.3">
      <c r="A23" s="501"/>
      <c r="B23" s="395" t="s">
        <v>275</v>
      </c>
      <c r="C23" s="534" t="s">
        <v>292</v>
      </c>
      <c r="D23" s="534"/>
      <c r="E23" s="534"/>
      <c r="F23" s="534"/>
      <c r="G23" s="534"/>
      <c r="H23" s="534"/>
      <c r="I23" s="534"/>
      <c r="J23" s="309"/>
      <c r="K23" s="532"/>
      <c r="L23" s="532"/>
      <c r="M23" s="532"/>
      <c r="N23" s="532"/>
      <c r="O23" s="532"/>
      <c r="P23" s="532"/>
      <c r="Q23" s="532"/>
    </row>
    <row r="24" spans="1:24" ht="27" customHeight="1" thickBot="1" x14ac:dyDescent="0.35">
      <c r="A24" s="502"/>
      <c r="B24" s="394" t="s">
        <v>275</v>
      </c>
      <c r="C24" s="535" t="s">
        <v>293</v>
      </c>
      <c r="D24" s="535"/>
      <c r="E24" s="535"/>
      <c r="F24" s="535"/>
      <c r="G24" s="535"/>
      <c r="H24" s="535"/>
      <c r="I24" s="535"/>
      <c r="J24" s="310"/>
      <c r="K24" s="536"/>
      <c r="L24" s="536"/>
      <c r="M24" s="536"/>
      <c r="N24" s="536"/>
      <c r="O24" s="536"/>
      <c r="P24" s="536"/>
      <c r="Q24" s="536"/>
    </row>
    <row r="25" spans="1:24" ht="28.95" customHeight="1" x14ac:dyDescent="0.3">
      <c r="A25" s="493">
        <v>43689</v>
      </c>
      <c r="B25" s="311" t="s">
        <v>275</v>
      </c>
      <c r="C25" s="533" t="s">
        <v>294</v>
      </c>
      <c r="D25" s="533"/>
      <c r="E25" s="533"/>
      <c r="F25" s="533"/>
      <c r="G25" s="533"/>
      <c r="H25" s="533"/>
      <c r="I25" s="533"/>
      <c r="J25" s="317" t="s">
        <v>257</v>
      </c>
      <c r="K25" s="537" t="s">
        <v>295</v>
      </c>
      <c r="L25" s="537"/>
      <c r="M25" s="537"/>
      <c r="N25" s="537"/>
      <c r="O25" s="537"/>
      <c r="P25" s="537"/>
      <c r="Q25" s="537"/>
    </row>
    <row r="26" spans="1:24" ht="14.4" customHeight="1" x14ac:dyDescent="0.3">
      <c r="A26" s="501"/>
      <c r="B26" s="395" t="s">
        <v>275</v>
      </c>
      <c r="C26" s="534" t="s">
        <v>296</v>
      </c>
      <c r="D26" s="534"/>
      <c r="E26" s="534"/>
      <c r="F26" s="534"/>
      <c r="G26" s="534"/>
      <c r="H26" s="534"/>
      <c r="I26" s="534"/>
      <c r="J26" s="318" t="s">
        <v>59</v>
      </c>
      <c r="K26" s="532" t="s">
        <v>297</v>
      </c>
      <c r="L26" s="532"/>
      <c r="M26" s="532"/>
      <c r="N26" s="532"/>
      <c r="O26" s="532"/>
      <c r="P26" s="532"/>
      <c r="Q26" s="532"/>
    </row>
    <row r="27" spans="1:24" ht="64.95" customHeight="1" x14ac:dyDescent="0.3">
      <c r="A27" s="501"/>
      <c r="B27" s="395" t="s">
        <v>275</v>
      </c>
      <c r="C27" s="534" t="s">
        <v>298</v>
      </c>
      <c r="D27" s="534"/>
      <c r="E27" s="534"/>
      <c r="F27" s="534"/>
      <c r="G27" s="534"/>
      <c r="H27" s="534"/>
      <c r="I27" s="534"/>
      <c r="J27" s="318" t="s">
        <v>59</v>
      </c>
      <c r="K27" s="534" t="s">
        <v>299</v>
      </c>
      <c r="L27" s="532"/>
      <c r="M27" s="532"/>
      <c r="N27" s="532"/>
      <c r="O27" s="532"/>
      <c r="P27" s="532"/>
      <c r="Q27" s="532"/>
    </row>
    <row r="28" spans="1:24" ht="90" customHeight="1" thickBot="1" x14ac:dyDescent="0.35">
      <c r="A28" s="502"/>
      <c r="B28" s="394" t="s">
        <v>275</v>
      </c>
      <c r="C28" s="535" t="s">
        <v>300</v>
      </c>
      <c r="D28" s="535"/>
      <c r="E28" s="535"/>
      <c r="F28" s="535"/>
      <c r="G28" s="535"/>
      <c r="H28" s="535"/>
      <c r="I28" s="535"/>
      <c r="J28" s="319" t="s">
        <v>59</v>
      </c>
      <c r="K28" s="535" t="s">
        <v>301</v>
      </c>
      <c r="L28" s="536"/>
      <c r="M28" s="536"/>
      <c r="N28" s="536"/>
      <c r="O28" s="536"/>
      <c r="P28" s="536"/>
      <c r="Q28" s="536"/>
    </row>
    <row r="29" spans="1:24" x14ac:dyDescent="0.3">
      <c r="A29" s="282"/>
      <c r="B29" s="282"/>
      <c r="C29" s="282"/>
      <c r="D29" s="282"/>
      <c r="E29" s="282"/>
      <c r="F29" s="282"/>
      <c r="G29" s="282"/>
      <c r="H29" s="282"/>
      <c r="I29" s="282"/>
      <c r="J29" s="282"/>
      <c r="K29" s="282"/>
      <c r="L29" s="282"/>
      <c r="M29" s="282"/>
      <c r="N29" s="282"/>
      <c r="O29" s="282"/>
      <c r="P29" s="282"/>
      <c r="Q29" s="282"/>
    </row>
    <row r="30" spans="1:24" x14ac:dyDescent="0.3">
      <c r="A30" s="282"/>
      <c r="B30" s="282"/>
      <c r="C30" s="282"/>
      <c r="D30" s="282"/>
      <c r="E30" s="282"/>
      <c r="F30" s="282"/>
      <c r="G30" s="282"/>
      <c r="H30" s="282"/>
      <c r="I30" s="282"/>
      <c r="J30" s="282"/>
      <c r="K30" s="282"/>
      <c r="L30" s="282"/>
      <c r="M30" s="282"/>
      <c r="N30" s="282"/>
      <c r="O30" s="282"/>
      <c r="P30" s="282"/>
      <c r="Q30" s="282"/>
    </row>
    <row r="31" spans="1:24" x14ac:dyDescent="0.3">
      <c r="A31" s="282"/>
      <c r="B31" s="282"/>
      <c r="C31" s="282"/>
      <c r="D31" s="282"/>
      <c r="E31" s="282"/>
      <c r="F31" s="282"/>
      <c r="G31" s="282"/>
      <c r="H31" s="282"/>
      <c r="I31" s="282"/>
      <c r="J31" s="282"/>
      <c r="K31" s="282"/>
      <c r="L31" s="282"/>
      <c r="M31" s="282"/>
      <c r="N31" s="282"/>
      <c r="O31" s="282"/>
      <c r="P31" s="282"/>
      <c r="Q31" s="282"/>
    </row>
    <row r="32" spans="1:24" x14ac:dyDescent="0.3">
      <c r="A32" s="282"/>
      <c r="B32" s="282"/>
      <c r="C32" s="282"/>
      <c r="D32" s="282"/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</row>
    <row r="33" spans="1:17" x14ac:dyDescent="0.3">
      <c r="A33" s="282"/>
      <c r="B33" s="307"/>
      <c r="C33" s="307"/>
      <c r="D33" s="307"/>
      <c r="E33" s="307"/>
      <c r="F33" s="307"/>
      <c r="G33" s="307"/>
      <c r="H33" s="307"/>
      <c r="I33" s="307"/>
      <c r="J33" s="282"/>
      <c r="K33" s="312"/>
      <c r="L33" s="312"/>
      <c r="M33" s="312"/>
      <c r="N33" s="312"/>
      <c r="O33" s="312"/>
      <c r="P33" s="312"/>
      <c r="Q33" s="312"/>
    </row>
    <row r="34" spans="1:17" x14ac:dyDescent="0.3">
      <c r="A34" s="282"/>
      <c r="B34" s="307"/>
      <c r="C34" s="307"/>
      <c r="D34" s="307"/>
      <c r="E34" s="307"/>
      <c r="F34" s="307"/>
      <c r="G34" s="307"/>
      <c r="H34" s="307"/>
      <c r="I34" s="307"/>
      <c r="J34" s="282"/>
      <c r="K34" s="312"/>
      <c r="L34" s="312"/>
      <c r="M34" s="312"/>
      <c r="N34" s="312"/>
      <c r="O34" s="312"/>
      <c r="P34" s="312"/>
      <c r="Q34" s="312"/>
    </row>
    <row r="35" spans="1:17" x14ac:dyDescent="0.3">
      <c r="A35" s="282"/>
      <c r="B35" s="307"/>
      <c r="C35" s="307"/>
      <c r="D35" s="307"/>
      <c r="E35" s="307"/>
      <c r="F35" s="307"/>
      <c r="G35" s="307"/>
      <c r="H35" s="307"/>
      <c r="I35" s="307"/>
      <c r="J35" s="282"/>
      <c r="K35" s="312"/>
      <c r="L35" s="312"/>
      <c r="M35" s="312"/>
      <c r="N35" s="312"/>
      <c r="O35" s="312"/>
      <c r="P35" s="312"/>
      <c r="Q35" s="312"/>
    </row>
    <row r="36" spans="1:17" x14ac:dyDescent="0.3">
      <c r="A36" s="282"/>
      <c r="B36" s="307"/>
      <c r="C36" s="307"/>
      <c r="D36" s="307"/>
      <c r="E36" s="307"/>
      <c r="F36" s="307"/>
      <c r="G36" s="307"/>
      <c r="H36" s="307"/>
      <c r="I36" s="307"/>
      <c r="J36" s="282"/>
      <c r="K36" s="312"/>
      <c r="L36" s="312"/>
      <c r="M36" s="312"/>
      <c r="N36" s="312"/>
      <c r="O36" s="312"/>
      <c r="P36" s="312"/>
      <c r="Q36" s="312"/>
    </row>
    <row r="37" spans="1:17" x14ac:dyDescent="0.3">
      <c r="A37" s="282"/>
      <c r="B37" s="307"/>
      <c r="C37" s="307"/>
      <c r="D37" s="307"/>
      <c r="E37" s="307"/>
      <c r="F37" s="307"/>
      <c r="G37" s="307"/>
      <c r="H37" s="307"/>
      <c r="I37" s="307"/>
      <c r="J37" s="282"/>
      <c r="K37" s="312"/>
      <c r="L37" s="312"/>
      <c r="M37" s="312"/>
      <c r="N37" s="312"/>
      <c r="O37" s="312"/>
      <c r="P37" s="312"/>
      <c r="Q37" s="312"/>
    </row>
    <row r="38" spans="1:17" x14ac:dyDescent="0.3">
      <c r="A38" s="282"/>
      <c r="B38" s="307"/>
      <c r="C38" s="307"/>
      <c r="D38" s="307"/>
      <c r="E38" s="307"/>
      <c r="F38" s="307"/>
      <c r="G38" s="307"/>
      <c r="H38" s="307"/>
      <c r="I38" s="307"/>
      <c r="J38" s="282"/>
      <c r="K38" s="312"/>
      <c r="L38" s="312"/>
      <c r="M38" s="312"/>
      <c r="N38" s="312"/>
      <c r="O38" s="312"/>
      <c r="P38" s="312"/>
      <c r="Q38" s="312"/>
    </row>
    <row r="39" spans="1:17" x14ac:dyDescent="0.3">
      <c r="A39" s="282"/>
      <c r="B39" s="307"/>
      <c r="C39" s="307"/>
      <c r="D39" s="307"/>
      <c r="E39" s="307"/>
      <c r="F39" s="307"/>
      <c r="G39" s="307"/>
      <c r="H39" s="307"/>
      <c r="I39" s="307"/>
      <c r="J39" s="282"/>
      <c r="K39" s="312"/>
      <c r="L39" s="312"/>
      <c r="M39" s="312"/>
      <c r="N39" s="312"/>
      <c r="O39" s="312"/>
      <c r="P39" s="312"/>
      <c r="Q39" s="312"/>
    </row>
    <row r="40" spans="1:17" x14ac:dyDescent="0.3">
      <c r="A40" s="282"/>
      <c r="B40" s="307"/>
      <c r="C40" s="307"/>
      <c r="D40" s="307"/>
      <c r="E40" s="307"/>
      <c r="F40" s="307"/>
      <c r="G40" s="307"/>
      <c r="H40" s="307"/>
      <c r="I40" s="307"/>
      <c r="J40" s="282"/>
      <c r="K40" s="312"/>
      <c r="L40" s="312"/>
      <c r="M40" s="312"/>
      <c r="N40" s="312"/>
      <c r="O40" s="312"/>
      <c r="P40" s="312"/>
      <c r="Q40" s="312"/>
    </row>
    <row r="41" spans="1:17" x14ac:dyDescent="0.3">
      <c r="A41" s="282"/>
      <c r="B41" s="307"/>
      <c r="C41" s="307"/>
      <c r="D41" s="307"/>
      <c r="E41" s="307"/>
      <c r="F41" s="307"/>
      <c r="G41" s="307"/>
      <c r="H41" s="307"/>
      <c r="I41" s="307"/>
      <c r="J41" s="282"/>
      <c r="K41" s="312"/>
      <c r="L41" s="312"/>
      <c r="M41" s="312"/>
      <c r="N41" s="312"/>
      <c r="O41" s="312"/>
      <c r="P41" s="312"/>
      <c r="Q41" s="312"/>
    </row>
    <row r="42" spans="1:17" x14ac:dyDescent="0.3">
      <c r="A42" s="282"/>
      <c r="B42" s="307"/>
      <c r="C42" s="307"/>
      <c r="D42" s="307"/>
      <c r="E42" s="307"/>
      <c r="F42" s="307"/>
      <c r="G42" s="307"/>
      <c r="H42" s="307"/>
      <c r="I42" s="307"/>
      <c r="J42" s="282"/>
      <c r="K42" s="312"/>
      <c r="L42" s="312"/>
      <c r="M42" s="312"/>
      <c r="N42" s="312"/>
      <c r="O42" s="312"/>
      <c r="P42" s="312"/>
      <c r="Q42" s="312"/>
    </row>
    <row r="43" spans="1:17" x14ac:dyDescent="0.3">
      <c r="A43" s="282"/>
      <c r="B43" s="307"/>
      <c r="C43" s="307"/>
      <c r="D43" s="307"/>
      <c r="E43" s="307"/>
      <c r="F43" s="307"/>
      <c r="G43" s="307"/>
      <c r="H43" s="307"/>
      <c r="I43" s="307"/>
      <c r="J43" s="282"/>
      <c r="K43" s="312"/>
      <c r="L43" s="312"/>
      <c r="M43" s="312"/>
      <c r="N43" s="312"/>
      <c r="O43" s="312"/>
      <c r="P43" s="312"/>
      <c r="Q43" s="312"/>
    </row>
    <row r="44" spans="1:17" x14ac:dyDescent="0.3">
      <c r="A44" s="282"/>
      <c r="B44" s="307"/>
      <c r="C44" s="307"/>
      <c r="D44" s="307"/>
      <c r="E44" s="307"/>
      <c r="F44" s="307"/>
      <c r="G44" s="307"/>
      <c r="H44" s="307"/>
      <c r="I44" s="307"/>
      <c r="J44" s="282"/>
      <c r="K44" s="312"/>
      <c r="L44" s="312"/>
      <c r="M44" s="312"/>
      <c r="N44" s="312"/>
      <c r="O44" s="312"/>
      <c r="P44" s="312"/>
      <c r="Q44" s="312"/>
    </row>
    <row r="45" spans="1:17" x14ac:dyDescent="0.3">
      <c r="A45" s="282"/>
      <c r="B45" s="307"/>
      <c r="C45" s="307"/>
      <c r="D45" s="307"/>
      <c r="E45" s="307"/>
      <c r="F45" s="307"/>
      <c r="G45" s="307"/>
      <c r="H45" s="307"/>
      <c r="I45" s="307"/>
      <c r="J45" s="282"/>
      <c r="K45" s="312"/>
      <c r="L45" s="312"/>
      <c r="M45" s="312"/>
      <c r="N45" s="312"/>
      <c r="O45" s="312"/>
      <c r="P45" s="312"/>
      <c r="Q45" s="312"/>
    </row>
    <row r="46" spans="1:17" x14ac:dyDescent="0.3">
      <c r="A46" s="282"/>
      <c r="B46" s="307"/>
      <c r="C46" s="307"/>
      <c r="D46" s="307"/>
      <c r="E46" s="307"/>
      <c r="F46" s="307"/>
      <c r="G46" s="307"/>
      <c r="H46" s="307"/>
      <c r="I46" s="307"/>
      <c r="J46" s="282"/>
      <c r="K46" s="312"/>
      <c r="L46" s="312"/>
      <c r="M46" s="312"/>
      <c r="N46" s="312"/>
      <c r="O46" s="312"/>
      <c r="P46" s="312"/>
      <c r="Q46" s="312"/>
    </row>
    <row r="47" spans="1:17" x14ac:dyDescent="0.3">
      <c r="A47" s="282"/>
      <c r="B47" s="307"/>
      <c r="C47" s="307"/>
      <c r="D47" s="307"/>
      <c r="E47" s="307"/>
      <c r="F47" s="307"/>
      <c r="G47" s="307"/>
      <c r="H47" s="307"/>
      <c r="I47" s="307"/>
      <c r="J47" s="282"/>
      <c r="K47" s="312"/>
      <c r="L47" s="312"/>
      <c r="M47" s="312"/>
      <c r="N47" s="312"/>
      <c r="O47" s="312"/>
      <c r="P47" s="312"/>
      <c r="Q47" s="312"/>
    </row>
    <row r="48" spans="1:17" x14ac:dyDescent="0.3">
      <c r="A48" s="282"/>
      <c r="B48" s="313"/>
      <c r="C48" s="313"/>
      <c r="D48" s="313"/>
      <c r="E48" s="313"/>
      <c r="F48" s="313"/>
      <c r="G48" s="313"/>
      <c r="H48" s="313"/>
      <c r="I48" s="313"/>
      <c r="J48" s="282"/>
      <c r="K48" s="312"/>
      <c r="L48" s="312"/>
      <c r="M48" s="312"/>
      <c r="N48" s="312"/>
      <c r="O48" s="312"/>
      <c r="P48" s="312"/>
      <c r="Q48" s="312"/>
    </row>
    <row r="49" spans="1:17" x14ac:dyDescent="0.3">
      <c r="A49" s="282"/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2"/>
      <c r="O49" s="282"/>
      <c r="P49" s="282"/>
      <c r="Q49" s="282"/>
    </row>
    <row r="50" spans="1:17" x14ac:dyDescent="0.3">
      <c r="A50" s="282"/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  <c r="N50" s="282"/>
      <c r="O50" s="282"/>
      <c r="P50" s="282"/>
      <c r="Q50" s="282"/>
    </row>
    <row r="51" spans="1:17" x14ac:dyDescent="0.3">
      <c r="A51" s="282"/>
      <c r="B51" s="282"/>
      <c r="C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  <c r="N51" s="282"/>
      <c r="O51" s="282"/>
      <c r="P51" s="282"/>
      <c r="Q51" s="282"/>
    </row>
    <row r="52" spans="1:17" x14ac:dyDescent="0.3">
      <c r="A52" s="282"/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</row>
    <row r="53" spans="1:17" x14ac:dyDescent="0.3">
      <c r="A53" s="282"/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L53" s="282"/>
      <c r="M53" s="282"/>
      <c r="N53" s="282"/>
      <c r="O53" s="282"/>
      <c r="P53" s="282"/>
      <c r="Q53" s="282"/>
    </row>
    <row r="54" spans="1:17" x14ac:dyDescent="0.3">
      <c r="A54" s="282"/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L54" s="282"/>
      <c r="M54" s="282"/>
      <c r="N54" s="282"/>
      <c r="O54" s="282"/>
      <c r="P54" s="282"/>
      <c r="Q54" s="282"/>
    </row>
    <row r="55" spans="1:17" x14ac:dyDescent="0.3">
      <c r="A55" s="282"/>
      <c r="B55" s="282"/>
      <c r="C55" s="282"/>
      <c r="D55" s="282"/>
      <c r="E55" s="282"/>
      <c r="F55" s="282"/>
      <c r="G55" s="282"/>
      <c r="H55" s="282"/>
      <c r="I55" s="282"/>
      <c r="J55" s="282"/>
      <c r="K55" s="282"/>
      <c r="L55" s="282"/>
      <c r="M55" s="282"/>
      <c r="N55" s="282"/>
      <c r="O55" s="282"/>
      <c r="P55" s="282"/>
      <c r="Q55" s="282"/>
    </row>
    <row r="56" spans="1:17" x14ac:dyDescent="0.3">
      <c r="A56" s="282"/>
      <c r="B56" s="282"/>
      <c r="C56" s="282"/>
      <c r="D56" s="282"/>
      <c r="E56" s="282"/>
      <c r="F56" s="282"/>
      <c r="G56" s="282"/>
      <c r="H56" s="282"/>
      <c r="I56" s="282"/>
      <c r="J56" s="282"/>
      <c r="K56" s="282"/>
      <c r="L56" s="282"/>
      <c r="M56" s="282"/>
      <c r="N56" s="282"/>
      <c r="O56" s="282"/>
      <c r="P56" s="282"/>
      <c r="Q56" s="282"/>
    </row>
    <row r="57" spans="1:17" x14ac:dyDescent="0.3">
      <c r="A57" s="282"/>
      <c r="B57" s="282"/>
      <c r="C57" s="282"/>
      <c r="D57" s="282"/>
      <c r="E57" s="282"/>
      <c r="F57" s="282"/>
      <c r="G57" s="282"/>
      <c r="H57" s="282"/>
      <c r="I57" s="282"/>
      <c r="J57" s="282"/>
      <c r="K57" s="282"/>
      <c r="L57" s="282"/>
      <c r="M57" s="282"/>
      <c r="N57" s="282"/>
      <c r="O57" s="282"/>
      <c r="P57" s="282"/>
      <c r="Q57" s="282"/>
    </row>
    <row r="58" spans="1:17" x14ac:dyDescent="0.3">
      <c r="A58" s="282"/>
      <c r="B58" s="282"/>
      <c r="C58" s="282"/>
      <c r="D58" s="282"/>
      <c r="E58" s="282"/>
      <c r="F58" s="282"/>
      <c r="G58" s="282"/>
      <c r="H58" s="282"/>
      <c r="I58" s="282"/>
      <c r="J58" s="282"/>
      <c r="K58" s="282"/>
      <c r="L58" s="282"/>
      <c r="M58" s="282"/>
      <c r="N58" s="282"/>
      <c r="O58" s="282"/>
      <c r="P58" s="282"/>
      <c r="Q58" s="282"/>
    </row>
    <row r="59" spans="1:17" x14ac:dyDescent="0.3">
      <c r="A59" s="282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2"/>
    </row>
    <row r="60" spans="1:17" x14ac:dyDescent="0.3">
      <c r="A60" s="282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2"/>
    </row>
    <row r="61" spans="1:17" x14ac:dyDescent="0.3">
      <c r="A61" s="282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2"/>
    </row>
    <row r="62" spans="1:17" x14ac:dyDescent="0.3">
      <c r="A62" s="282"/>
      <c r="B62" s="282"/>
      <c r="C62" s="282"/>
      <c r="D62" s="282"/>
      <c r="E62" s="282"/>
      <c r="F62" s="282"/>
      <c r="G62" s="282"/>
      <c r="H62" s="282"/>
      <c r="I62" s="282"/>
      <c r="J62" s="282"/>
      <c r="K62" s="282"/>
      <c r="L62" s="282"/>
      <c r="M62" s="282"/>
      <c r="N62" s="282"/>
      <c r="O62" s="282"/>
      <c r="P62" s="282"/>
      <c r="Q62" s="282"/>
    </row>
    <row r="63" spans="1:17" x14ac:dyDescent="0.3">
      <c r="A63" s="282"/>
      <c r="B63" s="282"/>
      <c r="C63" s="282"/>
      <c r="D63" s="282"/>
      <c r="E63" s="282"/>
      <c r="F63" s="282"/>
      <c r="G63" s="282"/>
      <c r="H63" s="282"/>
      <c r="I63" s="282"/>
      <c r="J63" s="282"/>
      <c r="K63" s="282"/>
      <c r="L63" s="282"/>
      <c r="M63" s="282"/>
      <c r="N63" s="282"/>
      <c r="O63" s="282"/>
      <c r="P63" s="282"/>
      <c r="Q63" s="282"/>
    </row>
    <row r="64" spans="1:17" x14ac:dyDescent="0.3">
      <c r="A64" s="282"/>
      <c r="B64" s="282"/>
      <c r="C64" s="282"/>
      <c r="D64" s="282"/>
      <c r="E64" s="282"/>
      <c r="F64" s="282"/>
      <c r="G64" s="282"/>
      <c r="H64" s="282"/>
      <c r="I64" s="282"/>
      <c r="J64" s="282"/>
      <c r="K64" s="282"/>
      <c r="L64" s="282"/>
      <c r="M64" s="282"/>
      <c r="N64" s="282"/>
      <c r="O64" s="282"/>
      <c r="P64" s="282"/>
      <c r="Q64" s="282"/>
    </row>
    <row r="65" spans="1:17" x14ac:dyDescent="0.3">
      <c r="A65" s="282"/>
      <c r="B65" s="282"/>
      <c r="C65" s="282"/>
      <c r="D65" s="282"/>
      <c r="E65" s="282"/>
      <c r="F65" s="282"/>
      <c r="G65" s="282"/>
      <c r="H65" s="282"/>
      <c r="I65" s="282"/>
      <c r="J65" s="282"/>
      <c r="K65" s="282"/>
      <c r="L65" s="282"/>
      <c r="M65" s="282"/>
      <c r="N65" s="282"/>
      <c r="O65" s="282"/>
      <c r="P65" s="282"/>
      <c r="Q65" s="282"/>
    </row>
    <row r="66" spans="1:17" x14ac:dyDescent="0.3">
      <c r="A66" s="282"/>
      <c r="B66" s="282"/>
      <c r="C66" s="282"/>
      <c r="D66" s="282"/>
      <c r="E66" s="282"/>
      <c r="F66" s="282"/>
      <c r="G66" s="282"/>
      <c r="H66" s="282"/>
      <c r="I66" s="282"/>
      <c r="J66" s="282"/>
      <c r="K66" s="282"/>
      <c r="L66" s="282"/>
      <c r="M66" s="282"/>
      <c r="N66" s="282"/>
      <c r="O66" s="282"/>
      <c r="P66" s="282"/>
      <c r="Q66" s="282"/>
    </row>
    <row r="67" spans="1:17" x14ac:dyDescent="0.3">
      <c r="A67" s="282"/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2"/>
      <c r="P67" s="282"/>
      <c r="Q67" s="282"/>
    </row>
    <row r="68" spans="1:17" x14ac:dyDescent="0.3">
      <c r="A68" s="282"/>
      <c r="B68" s="282"/>
      <c r="C68" s="282"/>
      <c r="D68" s="282"/>
      <c r="E68" s="282"/>
      <c r="F68" s="282"/>
      <c r="G68" s="282"/>
      <c r="H68" s="282"/>
      <c r="I68" s="282"/>
      <c r="J68" s="282"/>
      <c r="K68" s="282"/>
      <c r="L68" s="282"/>
      <c r="M68" s="282"/>
      <c r="N68" s="282"/>
      <c r="O68" s="282"/>
      <c r="P68" s="282"/>
      <c r="Q68" s="282"/>
    </row>
    <row r="69" spans="1:17" x14ac:dyDescent="0.3">
      <c r="A69" s="282"/>
      <c r="B69" s="282"/>
      <c r="C69" s="282"/>
      <c r="D69" s="282"/>
      <c r="E69" s="282"/>
      <c r="F69" s="282"/>
      <c r="G69" s="282"/>
      <c r="H69" s="282"/>
      <c r="I69" s="282"/>
      <c r="J69" s="282"/>
      <c r="K69" s="282"/>
      <c r="L69" s="282"/>
      <c r="M69" s="282"/>
      <c r="N69" s="282"/>
      <c r="O69" s="282"/>
      <c r="P69" s="282"/>
      <c r="Q69" s="282"/>
    </row>
    <row r="70" spans="1:17" x14ac:dyDescent="0.3">
      <c r="A70" s="282"/>
      <c r="B70" s="282"/>
      <c r="C70" s="282"/>
      <c r="D70" s="282"/>
      <c r="E70" s="282"/>
      <c r="F70" s="282"/>
      <c r="G70" s="282"/>
      <c r="H70" s="282"/>
      <c r="I70" s="282"/>
      <c r="J70" s="282"/>
      <c r="K70" s="282"/>
      <c r="L70" s="282"/>
      <c r="M70" s="282"/>
      <c r="N70" s="282"/>
      <c r="O70" s="282"/>
      <c r="P70" s="282"/>
      <c r="Q70" s="282"/>
    </row>
    <row r="71" spans="1:17" x14ac:dyDescent="0.3">
      <c r="A71" s="282"/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282"/>
    </row>
    <row r="72" spans="1:17" x14ac:dyDescent="0.3">
      <c r="A72" s="282"/>
      <c r="B72" s="282"/>
      <c r="C72" s="282"/>
      <c r="D72" s="282"/>
      <c r="E72" s="282"/>
      <c r="F72" s="282"/>
      <c r="G72" s="282"/>
      <c r="H72" s="282"/>
      <c r="I72" s="282"/>
      <c r="J72" s="282"/>
      <c r="K72" s="282"/>
      <c r="L72" s="282"/>
      <c r="M72" s="282"/>
      <c r="N72" s="282"/>
      <c r="O72" s="282"/>
      <c r="P72" s="282"/>
      <c r="Q72" s="282"/>
    </row>
    <row r="73" spans="1:17" x14ac:dyDescent="0.3">
      <c r="A73" s="282"/>
      <c r="B73" s="282"/>
      <c r="C73" s="282"/>
      <c r="D73" s="282"/>
      <c r="E73" s="282"/>
      <c r="F73" s="282"/>
      <c r="G73" s="282"/>
      <c r="H73" s="282"/>
      <c r="I73" s="282"/>
      <c r="J73" s="282"/>
      <c r="K73" s="282"/>
      <c r="L73" s="282"/>
      <c r="M73" s="282"/>
      <c r="N73" s="282"/>
      <c r="O73" s="282"/>
      <c r="P73" s="282"/>
      <c r="Q73" s="282"/>
    </row>
    <row r="74" spans="1:17" x14ac:dyDescent="0.3">
      <c r="A74" s="282"/>
      <c r="B74" s="282"/>
      <c r="C74" s="282"/>
      <c r="D74" s="282"/>
      <c r="E74" s="282"/>
      <c r="F74" s="282"/>
      <c r="G74" s="282"/>
      <c r="H74" s="282"/>
      <c r="I74" s="282"/>
      <c r="J74" s="282"/>
      <c r="K74" s="282"/>
      <c r="L74" s="282"/>
      <c r="M74" s="282"/>
      <c r="N74" s="282"/>
      <c r="O74" s="282"/>
      <c r="P74" s="282"/>
      <c r="Q74" s="282"/>
    </row>
    <row r="75" spans="1:17" x14ac:dyDescent="0.3">
      <c r="A75" s="282"/>
      <c r="B75" s="282"/>
      <c r="C75" s="282"/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</row>
    <row r="76" spans="1:17" x14ac:dyDescent="0.3">
      <c r="A76" s="282"/>
      <c r="B76" s="282"/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</row>
    <row r="77" spans="1:17" x14ac:dyDescent="0.3">
      <c r="A77" s="282"/>
      <c r="B77" s="282"/>
      <c r="C77" s="282"/>
      <c r="D77" s="282"/>
      <c r="E77" s="282"/>
      <c r="F77" s="282"/>
      <c r="G77" s="282"/>
      <c r="H77" s="282"/>
      <c r="I77" s="282"/>
      <c r="J77" s="282"/>
      <c r="K77" s="282"/>
      <c r="L77" s="282"/>
      <c r="M77" s="282"/>
      <c r="N77" s="282"/>
      <c r="O77" s="282"/>
      <c r="P77" s="282"/>
      <c r="Q77" s="282"/>
    </row>
    <row r="78" spans="1:17" x14ac:dyDescent="0.3">
      <c r="A78" s="282"/>
      <c r="B78" s="282"/>
      <c r="C78" s="282"/>
      <c r="D78" s="282"/>
      <c r="E78" s="282"/>
      <c r="F78" s="282"/>
      <c r="G78" s="282"/>
      <c r="H78" s="282"/>
      <c r="I78" s="282"/>
      <c r="J78" s="282"/>
      <c r="K78" s="282"/>
      <c r="L78" s="282"/>
      <c r="M78" s="282"/>
      <c r="N78" s="282"/>
      <c r="O78" s="282"/>
      <c r="P78" s="282"/>
      <c r="Q78" s="282"/>
    </row>
    <row r="79" spans="1:17" x14ac:dyDescent="0.3">
      <c r="A79" s="282"/>
      <c r="B79" s="282"/>
      <c r="C79" s="282"/>
      <c r="D79" s="282"/>
      <c r="E79" s="282"/>
      <c r="F79" s="282"/>
      <c r="G79" s="282"/>
      <c r="H79" s="282"/>
      <c r="I79" s="282"/>
      <c r="J79" s="282"/>
      <c r="K79" s="282"/>
      <c r="L79" s="282"/>
      <c r="M79" s="282"/>
      <c r="N79" s="282"/>
      <c r="O79" s="282"/>
      <c r="P79" s="282"/>
      <c r="Q79" s="282"/>
    </row>
    <row r="80" spans="1:17" x14ac:dyDescent="0.3">
      <c r="A80" s="282"/>
      <c r="B80" s="282"/>
      <c r="C80" s="282"/>
      <c r="D80" s="282"/>
      <c r="E80" s="282"/>
      <c r="F80" s="282"/>
      <c r="G80" s="282"/>
      <c r="H80" s="282"/>
      <c r="I80" s="282"/>
      <c r="J80" s="282"/>
      <c r="K80" s="282"/>
      <c r="L80" s="282"/>
      <c r="M80" s="282"/>
      <c r="N80" s="282"/>
      <c r="O80" s="282"/>
      <c r="P80" s="282"/>
      <c r="Q80" s="282"/>
    </row>
    <row r="81" spans="1:17" x14ac:dyDescent="0.3">
      <c r="A81" s="282"/>
      <c r="B81" s="282"/>
      <c r="C81" s="282"/>
      <c r="D81" s="282"/>
      <c r="E81" s="282"/>
      <c r="F81" s="282"/>
      <c r="G81" s="282"/>
      <c r="H81" s="282"/>
      <c r="I81" s="282"/>
      <c r="J81" s="282"/>
      <c r="K81" s="282"/>
      <c r="L81" s="282"/>
      <c r="M81" s="282"/>
      <c r="N81" s="282"/>
      <c r="O81" s="282"/>
      <c r="P81" s="282"/>
      <c r="Q81" s="282"/>
    </row>
    <row r="82" spans="1:17" x14ac:dyDescent="0.3">
      <c r="A82" s="282"/>
      <c r="B82" s="282"/>
      <c r="C82" s="282"/>
      <c r="D82" s="282"/>
      <c r="E82" s="282"/>
      <c r="F82" s="282"/>
      <c r="G82" s="282"/>
      <c r="H82" s="282"/>
      <c r="I82" s="282"/>
      <c r="J82" s="282"/>
      <c r="K82" s="282"/>
      <c r="L82" s="282"/>
      <c r="M82" s="282"/>
      <c r="N82" s="282"/>
      <c r="O82" s="282"/>
      <c r="P82" s="282"/>
      <c r="Q82" s="282"/>
    </row>
    <row r="83" spans="1:17" x14ac:dyDescent="0.3">
      <c r="A83" s="282"/>
      <c r="B83" s="282"/>
      <c r="C83" s="282"/>
      <c r="D83" s="282"/>
      <c r="E83" s="282"/>
      <c r="F83" s="282"/>
      <c r="G83" s="282"/>
      <c r="H83" s="282"/>
      <c r="I83" s="282"/>
      <c r="J83" s="282"/>
      <c r="K83" s="282"/>
      <c r="L83" s="282"/>
      <c r="M83" s="282"/>
      <c r="N83" s="282"/>
      <c r="O83" s="282"/>
      <c r="P83" s="282"/>
      <c r="Q83" s="282"/>
    </row>
    <row r="84" spans="1:17" x14ac:dyDescent="0.3">
      <c r="A84" s="282"/>
      <c r="B84" s="282"/>
      <c r="C84" s="282"/>
      <c r="D84" s="282"/>
      <c r="E84" s="282"/>
      <c r="F84" s="282"/>
      <c r="G84" s="282"/>
      <c r="H84" s="282"/>
      <c r="I84" s="282"/>
      <c r="J84" s="282"/>
      <c r="K84" s="282"/>
      <c r="L84" s="282"/>
      <c r="M84" s="282"/>
      <c r="N84" s="282"/>
      <c r="O84" s="282"/>
      <c r="P84" s="282"/>
      <c r="Q84" s="282"/>
    </row>
    <row r="85" spans="1:17" x14ac:dyDescent="0.3">
      <c r="A85" s="282"/>
      <c r="B85" s="282"/>
      <c r="C85" s="282"/>
      <c r="D85" s="282"/>
      <c r="E85" s="282"/>
      <c r="F85" s="282"/>
      <c r="G85" s="282"/>
      <c r="H85" s="282"/>
      <c r="I85" s="282"/>
      <c r="J85" s="282"/>
      <c r="K85" s="282"/>
      <c r="L85" s="282"/>
      <c r="M85" s="282"/>
      <c r="N85" s="282"/>
      <c r="O85" s="282"/>
      <c r="P85" s="282"/>
      <c r="Q85" s="282"/>
    </row>
    <row r="86" spans="1:17" x14ac:dyDescent="0.3">
      <c r="A86" s="282"/>
      <c r="B86" s="282"/>
      <c r="C86" s="282"/>
      <c r="D86" s="282"/>
      <c r="E86" s="282"/>
      <c r="F86" s="282"/>
      <c r="G86" s="282"/>
      <c r="H86" s="282"/>
      <c r="I86" s="282"/>
      <c r="J86" s="282"/>
      <c r="K86" s="282"/>
      <c r="L86" s="282"/>
      <c r="M86" s="282"/>
      <c r="N86" s="282"/>
      <c r="O86" s="282"/>
      <c r="P86" s="282"/>
      <c r="Q86" s="282"/>
    </row>
    <row r="87" spans="1:17" x14ac:dyDescent="0.3">
      <c r="A87" s="282"/>
      <c r="B87" s="282"/>
      <c r="C87" s="282"/>
      <c r="D87" s="282"/>
      <c r="E87" s="282"/>
      <c r="F87" s="282"/>
      <c r="G87" s="282"/>
      <c r="H87" s="282"/>
      <c r="I87" s="282"/>
      <c r="J87" s="282"/>
      <c r="K87" s="282"/>
      <c r="L87" s="282"/>
      <c r="M87" s="282"/>
      <c r="N87" s="282"/>
      <c r="O87" s="282"/>
      <c r="P87" s="282"/>
      <c r="Q87" s="282"/>
    </row>
    <row r="88" spans="1:17" x14ac:dyDescent="0.3">
      <c r="A88" s="282"/>
      <c r="B88" s="282"/>
      <c r="C88" s="282"/>
      <c r="D88" s="282"/>
      <c r="E88" s="282"/>
      <c r="F88" s="282"/>
      <c r="G88" s="282"/>
      <c r="H88" s="282"/>
      <c r="I88" s="282"/>
      <c r="J88" s="282"/>
      <c r="K88" s="282"/>
      <c r="L88" s="282"/>
      <c r="M88" s="282"/>
      <c r="N88" s="282"/>
      <c r="O88" s="282"/>
      <c r="P88" s="282"/>
      <c r="Q88" s="282"/>
    </row>
    <row r="89" spans="1:17" x14ac:dyDescent="0.3">
      <c r="A89" s="282"/>
      <c r="B89" s="282"/>
      <c r="C89" s="282"/>
      <c r="D89" s="282"/>
      <c r="E89" s="282"/>
      <c r="F89" s="282"/>
      <c r="G89" s="282"/>
      <c r="H89" s="282"/>
      <c r="I89" s="282"/>
      <c r="J89" s="282"/>
      <c r="K89" s="282"/>
      <c r="L89" s="282"/>
      <c r="M89" s="282"/>
      <c r="N89" s="282"/>
      <c r="O89" s="282"/>
      <c r="P89" s="282"/>
      <c r="Q89" s="282"/>
    </row>
    <row r="90" spans="1:17" x14ac:dyDescent="0.3">
      <c r="A90" s="282"/>
      <c r="B90" s="282"/>
      <c r="C90" s="282"/>
      <c r="D90" s="282"/>
      <c r="E90" s="282"/>
      <c r="F90" s="282"/>
      <c r="G90" s="282"/>
      <c r="H90" s="282"/>
      <c r="I90" s="282"/>
      <c r="J90" s="282"/>
      <c r="K90" s="282"/>
      <c r="L90" s="282"/>
      <c r="M90" s="282"/>
      <c r="N90" s="282"/>
      <c r="O90" s="282"/>
      <c r="P90" s="282"/>
      <c r="Q90" s="282"/>
    </row>
    <row r="91" spans="1:17" x14ac:dyDescent="0.3">
      <c r="A91" s="282"/>
      <c r="B91" s="282"/>
      <c r="C91" s="282"/>
      <c r="D91" s="282"/>
      <c r="E91" s="282"/>
      <c r="F91" s="282"/>
      <c r="G91" s="282"/>
      <c r="H91" s="282"/>
      <c r="I91" s="282"/>
      <c r="J91" s="282"/>
      <c r="K91" s="282"/>
      <c r="L91" s="282"/>
      <c r="M91" s="282"/>
      <c r="N91" s="282"/>
      <c r="O91" s="282"/>
      <c r="P91" s="282"/>
      <c r="Q91" s="282"/>
    </row>
    <row r="92" spans="1:17" x14ac:dyDescent="0.3">
      <c r="A92" s="282"/>
      <c r="B92" s="282"/>
      <c r="C92" s="282"/>
      <c r="D92" s="282"/>
      <c r="E92" s="282"/>
      <c r="F92" s="282"/>
      <c r="G92" s="282"/>
      <c r="H92" s="282"/>
      <c r="I92" s="282"/>
      <c r="J92" s="282"/>
      <c r="K92" s="282"/>
      <c r="L92" s="282"/>
      <c r="M92" s="282"/>
      <c r="N92" s="282"/>
      <c r="O92" s="282"/>
      <c r="P92" s="282"/>
      <c r="Q92" s="282"/>
    </row>
    <row r="93" spans="1:17" x14ac:dyDescent="0.3">
      <c r="A93" s="282"/>
      <c r="B93" s="282"/>
      <c r="C93" s="282"/>
      <c r="D93" s="282"/>
      <c r="E93" s="282"/>
      <c r="F93" s="282"/>
      <c r="G93" s="282"/>
      <c r="H93" s="282"/>
      <c r="I93" s="282"/>
      <c r="J93" s="282"/>
      <c r="K93" s="282"/>
      <c r="L93" s="282"/>
      <c r="M93" s="282"/>
      <c r="N93" s="282"/>
      <c r="O93" s="282"/>
      <c r="P93" s="282"/>
      <c r="Q93" s="282"/>
    </row>
    <row r="94" spans="1:17" x14ac:dyDescent="0.3">
      <c r="A94" s="282"/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2"/>
      <c r="P94" s="282"/>
      <c r="Q94" s="282"/>
    </row>
    <row r="95" spans="1:17" x14ac:dyDescent="0.3">
      <c r="A95" s="282"/>
      <c r="B95" s="282"/>
      <c r="C95" s="282"/>
      <c r="D95" s="282"/>
      <c r="E95" s="282"/>
      <c r="F95" s="282"/>
      <c r="G95" s="282"/>
      <c r="H95" s="282"/>
      <c r="I95" s="282"/>
      <c r="J95" s="282"/>
      <c r="K95" s="282"/>
      <c r="L95" s="282"/>
      <c r="M95" s="282"/>
      <c r="N95" s="282"/>
      <c r="O95" s="282"/>
      <c r="P95" s="282"/>
      <c r="Q95" s="282"/>
    </row>
    <row r="96" spans="1:17" x14ac:dyDescent="0.3">
      <c r="A96" s="282"/>
      <c r="B96" s="282"/>
      <c r="C96" s="282"/>
      <c r="D96" s="282"/>
      <c r="E96" s="282"/>
      <c r="F96" s="282"/>
      <c r="G96" s="282"/>
      <c r="H96" s="282"/>
      <c r="I96" s="282"/>
      <c r="J96" s="282"/>
      <c r="K96" s="282"/>
      <c r="L96" s="282"/>
      <c r="M96" s="282"/>
      <c r="N96" s="282"/>
      <c r="O96" s="282"/>
      <c r="P96" s="282"/>
      <c r="Q96" s="282"/>
    </row>
    <row r="97" spans="1:17" x14ac:dyDescent="0.3">
      <c r="A97" s="282"/>
      <c r="B97" s="282"/>
      <c r="C97" s="282"/>
      <c r="D97" s="282"/>
      <c r="E97" s="282"/>
      <c r="F97" s="282"/>
      <c r="G97" s="282"/>
      <c r="H97" s="282"/>
      <c r="I97" s="282"/>
      <c r="J97" s="282"/>
      <c r="K97" s="282"/>
      <c r="L97" s="282"/>
      <c r="M97" s="282"/>
      <c r="N97" s="282"/>
      <c r="O97" s="282"/>
      <c r="P97" s="282"/>
      <c r="Q97" s="282"/>
    </row>
    <row r="98" spans="1:17" x14ac:dyDescent="0.3">
      <c r="A98" s="282"/>
      <c r="B98" s="282"/>
      <c r="C98" s="282"/>
      <c r="D98" s="282"/>
      <c r="E98" s="282"/>
      <c r="F98" s="282"/>
      <c r="G98" s="282"/>
      <c r="H98" s="282"/>
      <c r="I98" s="282"/>
      <c r="J98" s="282"/>
      <c r="K98" s="282"/>
      <c r="L98" s="282"/>
      <c r="M98" s="282"/>
      <c r="N98" s="282"/>
      <c r="O98" s="282"/>
      <c r="P98" s="282"/>
      <c r="Q98" s="282"/>
    </row>
    <row r="99" spans="1:17" x14ac:dyDescent="0.3">
      <c r="A99" s="282"/>
      <c r="B99" s="282"/>
      <c r="C99" s="282"/>
      <c r="D99" s="282"/>
      <c r="E99" s="282"/>
      <c r="F99" s="282"/>
      <c r="G99" s="282"/>
      <c r="H99" s="282"/>
      <c r="I99" s="282"/>
      <c r="J99" s="282"/>
      <c r="K99" s="282"/>
      <c r="L99" s="282"/>
      <c r="M99" s="282"/>
      <c r="N99" s="282"/>
      <c r="O99" s="282"/>
      <c r="P99" s="282"/>
      <c r="Q99" s="282"/>
    </row>
    <row r="100" spans="1:17" x14ac:dyDescent="0.3">
      <c r="A100" s="282"/>
      <c r="B100" s="282"/>
      <c r="C100" s="282"/>
      <c r="D100" s="282"/>
      <c r="E100" s="282"/>
      <c r="F100" s="282"/>
      <c r="G100" s="282"/>
      <c r="H100" s="282"/>
      <c r="I100" s="282"/>
      <c r="J100" s="282"/>
      <c r="K100" s="282"/>
      <c r="L100" s="282"/>
      <c r="M100" s="282"/>
      <c r="N100" s="282"/>
      <c r="O100" s="282"/>
      <c r="P100" s="282"/>
      <c r="Q100" s="282"/>
    </row>
    <row r="101" spans="1:17" x14ac:dyDescent="0.3">
      <c r="A101" s="282"/>
      <c r="B101" s="282"/>
      <c r="C101" s="282"/>
      <c r="D101" s="282"/>
      <c r="E101" s="282"/>
      <c r="F101" s="282"/>
      <c r="G101" s="282"/>
      <c r="H101" s="282"/>
      <c r="I101" s="282"/>
      <c r="J101" s="282"/>
      <c r="K101" s="282"/>
      <c r="L101" s="282"/>
      <c r="M101" s="282"/>
      <c r="N101" s="282"/>
      <c r="O101" s="282"/>
      <c r="P101" s="282"/>
      <c r="Q101" s="282"/>
    </row>
    <row r="102" spans="1:17" x14ac:dyDescent="0.3">
      <c r="A102" s="282"/>
      <c r="B102" s="282"/>
      <c r="C102" s="282"/>
      <c r="D102" s="282"/>
      <c r="E102" s="282"/>
      <c r="F102" s="282"/>
      <c r="G102" s="282"/>
      <c r="H102" s="282"/>
      <c r="I102" s="282"/>
      <c r="J102" s="282"/>
      <c r="K102" s="282"/>
      <c r="L102" s="282"/>
      <c r="M102" s="282"/>
      <c r="N102" s="282"/>
      <c r="O102" s="282"/>
      <c r="P102" s="282"/>
      <c r="Q102" s="282"/>
    </row>
    <row r="103" spans="1:17" x14ac:dyDescent="0.3">
      <c r="A103" s="282"/>
      <c r="B103" s="282"/>
      <c r="C103" s="282"/>
      <c r="D103" s="282"/>
      <c r="E103" s="282"/>
      <c r="F103" s="282"/>
      <c r="G103" s="282"/>
      <c r="H103" s="282"/>
      <c r="I103" s="282"/>
      <c r="J103" s="282"/>
      <c r="K103" s="282"/>
      <c r="L103" s="282"/>
      <c r="M103" s="282"/>
      <c r="N103" s="282"/>
      <c r="O103" s="282"/>
      <c r="P103" s="282"/>
      <c r="Q103" s="282"/>
    </row>
    <row r="104" spans="1:17" x14ac:dyDescent="0.3">
      <c r="A104" s="282"/>
      <c r="B104" s="282"/>
      <c r="C104" s="282"/>
      <c r="D104" s="282"/>
      <c r="E104" s="282"/>
      <c r="F104" s="282"/>
      <c r="G104" s="282"/>
      <c r="H104" s="282"/>
      <c r="I104" s="282"/>
      <c r="J104" s="282"/>
      <c r="K104" s="282"/>
      <c r="L104" s="282"/>
      <c r="M104" s="282"/>
      <c r="N104" s="282"/>
      <c r="O104" s="282"/>
      <c r="P104" s="282"/>
      <c r="Q104" s="282"/>
    </row>
    <row r="105" spans="1:17" x14ac:dyDescent="0.3">
      <c r="A105" s="282"/>
      <c r="B105" s="282"/>
      <c r="C105" s="282"/>
      <c r="D105" s="282"/>
      <c r="E105" s="282"/>
      <c r="F105" s="282"/>
      <c r="G105" s="282"/>
      <c r="H105" s="282"/>
      <c r="I105" s="282"/>
      <c r="J105" s="282"/>
      <c r="K105" s="282"/>
      <c r="L105" s="282"/>
      <c r="M105" s="282"/>
      <c r="N105" s="282"/>
      <c r="O105" s="282"/>
      <c r="P105" s="282"/>
      <c r="Q105" s="282"/>
    </row>
    <row r="106" spans="1:17" x14ac:dyDescent="0.3">
      <c r="A106" s="282"/>
      <c r="B106" s="282"/>
      <c r="C106" s="282"/>
      <c r="D106" s="282"/>
      <c r="E106" s="282"/>
      <c r="F106" s="282"/>
      <c r="G106" s="282"/>
      <c r="H106" s="282"/>
      <c r="I106" s="282"/>
      <c r="J106" s="282"/>
      <c r="K106" s="282"/>
      <c r="L106" s="282"/>
      <c r="M106" s="282"/>
      <c r="N106" s="282"/>
      <c r="O106" s="282"/>
      <c r="P106" s="282"/>
      <c r="Q106" s="282"/>
    </row>
    <row r="107" spans="1:17" x14ac:dyDescent="0.3">
      <c r="A107" s="282"/>
      <c r="B107" s="282"/>
      <c r="C107" s="282"/>
      <c r="D107" s="282"/>
      <c r="E107" s="282"/>
      <c r="F107" s="282"/>
      <c r="G107" s="282"/>
      <c r="H107" s="282"/>
      <c r="I107" s="282"/>
      <c r="J107" s="282"/>
      <c r="K107" s="282"/>
      <c r="L107" s="282"/>
      <c r="M107" s="282"/>
      <c r="N107" s="282"/>
      <c r="O107" s="282"/>
      <c r="P107" s="282"/>
      <c r="Q107" s="282"/>
    </row>
    <row r="108" spans="1:17" x14ac:dyDescent="0.3">
      <c r="A108" s="282"/>
      <c r="B108" s="282"/>
      <c r="C108" s="282"/>
      <c r="D108" s="282"/>
      <c r="E108" s="282"/>
      <c r="F108" s="282"/>
      <c r="G108" s="282"/>
      <c r="H108" s="282"/>
      <c r="I108" s="282"/>
      <c r="J108" s="282"/>
      <c r="K108" s="282"/>
      <c r="L108" s="282"/>
      <c r="M108" s="282"/>
      <c r="N108" s="282"/>
      <c r="O108" s="282"/>
      <c r="P108" s="282"/>
      <c r="Q108" s="282"/>
    </row>
    <row r="109" spans="1:17" x14ac:dyDescent="0.3">
      <c r="A109" s="282"/>
      <c r="B109" s="282"/>
      <c r="C109" s="282"/>
      <c r="D109" s="282"/>
      <c r="E109" s="282"/>
      <c r="F109" s="282"/>
      <c r="G109" s="282"/>
      <c r="H109" s="282"/>
      <c r="I109" s="282"/>
      <c r="J109" s="282"/>
      <c r="K109" s="282"/>
      <c r="L109" s="282"/>
      <c r="M109" s="282"/>
      <c r="N109" s="282"/>
      <c r="O109" s="282"/>
      <c r="P109" s="282"/>
      <c r="Q109" s="282"/>
    </row>
    <row r="110" spans="1:17" x14ac:dyDescent="0.3">
      <c r="A110" s="282"/>
      <c r="B110" s="282"/>
      <c r="C110" s="282"/>
      <c r="D110" s="282"/>
      <c r="E110" s="282"/>
      <c r="F110" s="282"/>
      <c r="G110" s="282"/>
      <c r="H110" s="282"/>
      <c r="I110" s="282"/>
      <c r="J110" s="282"/>
      <c r="K110" s="282"/>
      <c r="L110" s="282"/>
      <c r="M110" s="282"/>
      <c r="N110" s="282"/>
      <c r="O110" s="282"/>
      <c r="P110" s="282"/>
      <c r="Q110" s="282"/>
    </row>
    <row r="111" spans="1:17" x14ac:dyDescent="0.3">
      <c r="A111" s="282"/>
      <c r="B111" s="282"/>
      <c r="C111" s="282"/>
      <c r="D111" s="282"/>
      <c r="E111" s="282"/>
      <c r="F111" s="282"/>
      <c r="G111" s="282"/>
      <c r="H111" s="282"/>
      <c r="I111" s="282"/>
      <c r="J111" s="282"/>
      <c r="K111" s="282"/>
      <c r="L111" s="282"/>
      <c r="M111" s="282"/>
      <c r="N111" s="282"/>
      <c r="O111" s="282"/>
      <c r="P111" s="282"/>
      <c r="Q111" s="282"/>
    </row>
    <row r="112" spans="1:17" x14ac:dyDescent="0.3">
      <c r="A112" s="282"/>
      <c r="B112" s="282"/>
      <c r="C112" s="282"/>
      <c r="D112" s="282"/>
      <c r="E112" s="282"/>
      <c r="F112" s="282"/>
      <c r="G112" s="282"/>
      <c r="H112" s="282"/>
      <c r="I112" s="282"/>
      <c r="J112" s="282"/>
      <c r="K112" s="282"/>
      <c r="L112" s="282"/>
      <c r="M112" s="282"/>
      <c r="N112" s="282"/>
      <c r="O112" s="282"/>
      <c r="P112" s="282"/>
      <c r="Q112" s="282"/>
    </row>
    <row r="113" spans="1:17" x14ac:dyDescent="0.3">
      <c r="A113" s="282"/>
      <c r="B113" s="282"/>
      <c r="C113" s="282"/>
      <c r="D113" s="282"/>
      <c r="E113" s="282"/>
      <c r="F113" s="282"/>
      <c r="G113" s="282"/>
      <c r="H113" s="282"/>
      <c r="I113" s="282"/>
      <c r="J113" s="282"/>
      <c r="K113" s="282"/>
      <c r="L113" s="282"/>
      <c r="M113" s="282"/>
      <c r="N113" s="282"/>
      <c r="O113" s="282"/>
      <c r="P113" s="282"/>
      <c r="Q113" s="282"/>
    </row>
    <row r="114" spans="1:17" x14ac:dyDescent="0.3">
      <c r="A114" s="282"/>
      <c r="B114" s="282"/>
      <c r="C114" s="282"/>
      <c r="D114" s="282"/>
      <c r="E114" s="282"/>
      <c r="F114" s="282"/>
      <c r="G114" s="282"/>
      <c r="H114" s="282"/>
      <c r="I114" s="282"/>
      <c r="J114" s="282"/>
      <c r="K114" s="282"/>
      <c r="L114" s="282"/>
      <c r="M114" s="282"/>
      <c r="N114" s="282"/>
      <c r="O114" s="282"/>
      <c r="P114" s="282"/>
      <c r="Q114" s="282"/>
    </row>
    <row r="115" spans="1:17" x14ac:dyDescent="0.3">
      <c r="A115" s="282"/>
      <c r="B115" s="282"/>
      <c r="C115" s="282"/>
      <c r="D115" s="282"/>
      <c r="E115" s="282"/>
      <c r="F115" s="282"/>
      <c r="G115" s="282"/>
      <c r="H115" s="282"/>
      <c r="I115" s="282"/>
      <c r="J115" s="282"/>
      <c r="K115" s="282"/>
      <c r="L115" s="282"/>
      <c r="M115" s="282"/>
      <c r="N115" s="282"/>
      <c r="O115" s="282"/>
      <c r="P115" s="282"/>
      <c r="Q115" s="282"/>
    </row>
    <row r="116" spans="1:17" x14ac:dyDescent="0.3">
      <c r="A116" s="282"/>
      <c r="B116" s="282"/>
      <c r="C116" s="282"/>
      <c r="D116" s="282"/>
      <c r="E116" s="282"/>
      <c r="F116" s="282"/>
      <c r="G116" s="282"/>
      <c r="H116" s="282"/>
      <c r="I116" s="282"/>
      <c r="J116" s="282"/>
      <c r="K116" s="282"/>
      <c r="L116" s="282"/>
      <c r="M116" s="282"/>
      <c r="N116" s="282"/>
      <c r="O116" s="282"/>
      <c r="P116" s="282"/>
      <c r="Q116" s="282"/>
    </row>
    <row r="117" spans="1:17" x14ac:dyDescent="0.3">
      <c r="A117" s="282"/>
      <c r="B117" s="282"/>
      <c r="C117" s="282"/>
      <c r="D117" s="282"/>
      <c r="E117" s="282"/>
      <c r="F117" s="282"/>
      <c r="G117" s="282"/>
      <c r="H117" s="282"/>
      <c r="I117" s="282"/>
      <c r="J117" s="282"/>
      <c r="K117" s="282"/>
      <c r="L117" s="282"/>
      <c r="M117" s="282"/>
      <c r="N117" s="282"/>
      <c r="O117" s="282"/>
      <c r="P117" s="282"/>
      <c r="Q117" s="282"/>
    </row>
    <row r="118" spans="1:17" x14ac:dyDescent="0.3">
      <c r="A118" s="282"/>
      <c r="B118" s="282"/>
      <c r="C118" s="282"/>
      <c r="D118" s="282"/>
      <c r="E118" s="282"/>
      <c r="F118" s="282"/>
      <c r="G118" s="282"/>
      <c r="H118" s="282"/>
      <c r="I118" s="282"/>
      <c r="J118" s="282"/>
      <c r="K118" s="282"/>
      <c r="L118" s="282"/>
      <c r="M118" s="282"/>
      <c r="N118" s="282"/>
      <c r="O118" s="282"/>
      <c r="P118" s="282"/>
      <c r="Q118" s="282"/>
    </row>
    <row r="119" spans="1:17" x14ac:dyDescent="0.3">
      <c r="A119" s="282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</row>
    <row r="120" spans="1:17" x14ac:dyDescent="0.3">
      <c r="A120" s="282"/>
      <c r="B120" s="282"/>
      <c r="C120" s="282"/>
      <c r="D120" s="282"/>
      <c r="E120" s="282"/>
      <c r="F120" s="282"/>
      <c r="G120" s="282"/>
      <c r="H120" s="282"/>
      <c r="I120" s="282"/>
      <c r="J120" s="282"/>
      <c r="K120" s="282"/>
      <c r="L120" s="282"/>
      <c r="M120" s="282"/>
      <c r="N120" s="282"/>
      <c r="O120" s="282"/>
      <c r="P120" s="282"/>
      <c r="Q120" s="282"/>
    </row>
    <row r="121" spans="1:17" x14ac:dyDescent="0.3">
      <c r="A121" s="282"/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2"/>
      <c r="P121" s="282"/>
      <c r="Q121" s="282"/>
    </row>
    <row r="122" spans="1:17" x14ac:dyDescent="0.3">
      <c r="A122" s="282"/>
      <c r="B122" s="282"/>
      <c r="C122" s="282"/>
      <c r="D122" s="282"/>
      <c r="E122" s="282"/>
      <c r="F122" s="282"/>
      <c r="G122" s="282"/>
      <c r="H122" s="282"/>
      <c r="I122" s="282"/>
      <c r="J122" s="282"/>
      <c r="K122" s="282"/>
      <c r="L122" s="282"/>
      <c r="M122" s="282"/>
      <c r="N122" s="282"/>
      <c r="O122" s="282"/>
      <c r="P122" s="282"/>
      <c r="Q122" s="282"/>
    </row>
    <row r="123" spans="1:17" x14ac:dyDescent="0.3">
      <c r="A123" s="282"/>
      <c r="B123" s="282"/>
      <c r="C123" s="282"/>
      <c r="D123" s="282"/>
      <c r="E123" s="282"/>
      <c r="F123" s="282"/>
      <c r="G123" s="282"/>
      <c r="H123" s="282"/>
      <c r="I123" s="282"/>
      <c r="J123" s="282"/>
      <c r="K123" s="282"/>
      <c r="L123" s="282"/>
      <c r="M123" s="282"/>
      <c r="N123" s="282"/>
      <c r="O123" s="282"/>
      <c r="P123" s="282"/>
      <c r="Q123" s="282"/>
    </row>
    <row r="124" spans="1:17" x14ac:dyDescent="0.3">
      <c r="A124" s="282"/>
      <c r="B124" s="282"/>
      <c r="C124" s="282"/>
      <c r="D124" s="282"/>
      <c r="E124" s="282"/>
      <c r="F124" s="282"/>
      <c r="G124" s="282"/>
      <c r="H124" s="282"/>
      <c r="I124" s="282"/>
      <c r="J124" s="282"/>
      <c r="K124" s="282"/>
      <c r="L124" s="282"/>
      <c r="M124" s="282"/>
      <c r="N124" s="282"/>
      <c r="O124" s="282"/>
      <c r="P124" s="282"/>
      <c r="Q124" s="282"/>
    </row>
    <row r="125" spans="1:17" x14ac:dyDescent="0.3">
      <c r="A125" s="282"/>
      <c r="B125" s="282"/>
      <c r="C125" s="282"/>
      <c r="D125" s="282"/>
      <c r="E125" s="282"/>
      <c r="F125" s="282"/>
      <c r="G125" s="282"/>
      <c r="H125" s="282"/>
      <c r="I125" s="282"/>
      <c r="J125" s="282"/>
      <c r="K125" s="282"/>
      <c r="L125" s="282"/>
      <c r="M125" s="282"/>
      <c r="N125" s="282"/>
      <c r="O125" s="282"/>
      <c r="P125" s="282"/>
      <c r="Q125" s="282"/>
    </row>
    <row r="126" spans="1:17" x14ac:dyDescent="0.3">
      <c r="A126" s="282"/>
      <c r="B126" s="282"/>
      <c r="C126" s="282"/>
      <c r="D126" s="282"/>
      <c r="E126" s="282"/>
      <c r="F126" s="282"/>
      <c r="G126" s="282"/>
      <c r="H126" s="282"/>
      <c r="I126" s="282"/>
      <c r="J126" s="282"/>
      <c r="K126" s="282"/>
      <c r="L126" s="282"/>
      <c r="M126" s="282"/>
      <c r="N126" s="282"/>
      <c r="O126" s="282"/>
      <c r="P126" s="282"/>
      <c r="Q126" s="282"/>
    </row>
    <row r="127" spans="1:17" x14ac:dyDescent="0.3">
      <c r="A127" s="282"/>
      <c r="B127" s="282"/>
      <c r="C127" s="282"/>
      <c r="D127" s="282"/>
      <c r="E127" s="282"/>
      <c r="F127" s="282"/>
      <c r="G127" s="282"/>
      <c r="H127" s="282"/>
      <c r="I127" s="282"/>
      <c r="J127" s="282"/>
      <c r="K127" s="282"/>
      <c r="L127" s="282"/>
      <c r="M127" s="282"/>
      <c r="N127" s="282"/>
      <c r="O127" s="282"/>
      <c r="P127" s="282"/>
      <c r="Q127" s="282"/>
    </row>
    <row r="128" spans="1:17" x14ac:dyDescent="0.3">
      <c r="A128" s="282"/>
      <c r="B128" s="282"/>
      <c r="C128" s="282"/>
      <c r="D128" s="282"/>
      <c r="E128" s="282"/>
      <c r="F128" s="282"/>
      <c r="G128" s="282"/>
      <c r="H128" s="282"/>
      <c r="I128" s="282"/>
      <c r="J128" s="282"/>
      <c r="K128" s="282"/>
      <c r="L128" s="282"/>
      <c r="M128" s="282"/>
      <c r="N128" s="282"/>
      <c r="O128" s="282"/>
      <c r="P128" s="282"/>
      <c r="Q128" s="282"/>
    </row>
    <row r="129" spans="1:17" x14ac:dyDescent="0.3">
      <c r="A129" s="282"/>
      <c r="B129" s="282"/>
      <c r="C129" s="282"/>
      <c r="D129" s="282"/>
      <c r="E129" s="282"/>
      <c r="F129" s="282"/>
      <c r="G129" s="282"/>
      <c r="H129" s="282"/>
      <c r="I129" s="282"/>
      <c r="J129" s="282"/>
      <c r="K129" s="282"/>
      <c r="L129" s="282"/>
      <c r="M129" s="282"/>
      <c r="N129" s="282"/>
      <c r="O129" s="282"/>
      <c r="P129" s="282"/>
      <c r="Q129" s="282"/>
    </row>
    <row r="130" spans="1:17" x14ac:dyDescent="0.3">
      <c r="A130" s="282"/>
      <c r="B130" s="282"/>
      <c r="C130" s="282"/>
      <c r="D130" s="282"/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</row>
    <row r="131" spans="1:17" x14ac:dyDescent="0.3">
      <c r="A131" s="282"/>
      <c r="B131" s="282"/>
      <c r="C131" s="282"/>
      <c r="D131" s="282"/>
      <c r="E131" s="282"/>
      <c r="F131" s="282"/>
      <c r="G131" s="282"/>
      <c r="H131" s="282"/>
      <c r="I131" s="282"/>
      <c r="J131" s="282"/>
      <c r="K131" s="282"/>
      <c r="L131" s="282"/>
      <c r="M131" s="282"/>
      <c r="N131" s="282"/>
      <c r="O131" s="282"/>
      <c r="P131" s="282"/>
      <c r="Q131" s="282"/>
    </row>
    <row r="132" spans="1:17" x14ac:dyDescent="0.3">
      <c r="A132" s="282"/>
      <c r="B132" s="282"/>
      <c r="C132" s="282"/>
      <c r="D132" s="282"/>
      <c r="E132" s="282"/>
      <c r="F132" s="282"/>
      <c r="G132" s="282"/>
      <c r="H132" s="282"/>
      <c r="I132" s="282"/>
      <c r="J132" s="282"/>
      <c r="K132" s="282"/>
      <c r="L132" s="282"/>
      <c r="M132" s="282"/>
      <c r="N132" s="282"/>
      <c r="O132" s="282"/>
      <c r="P132" s="282"/>
      <c r="Q132" s="282"/>
    </row>
    <row r="133" spans="1:17" x14ac:dyDescent="0.3">
      <c r="A133" s="282"/>
      <c r="B133" s="282"/>
      <c r="C133" s="282"/>
      <c r="D133" s="282"/>
      <c r="E133" s="282"/>
      <c r="F133" s="282"/>
      <c r="G133" s="282"/>
      <c r="H133" s="282"/>
      <c r="I133" s="282"/>
      <c r="J133" s="282"/>
      <c r="K133" s="282"/>
      <c r="L133" s="282"/>
      <c r="M133" s="282"/>
      <c r="N133" s="282"/>
      <c r="O133" s="282"/>
      <c r="P133" s="282"/>
      <c r="Q133" s="282"/>
    </row>
    <row r="134" spans="1:17" x14ac:dyDescent="0.3">
      <c r="A134" s="282"/>
      <c r="B134" s="282"/>
      <c r="C134" s="282"/>
      <c r="D134" s="282"/>
      <c r="E134" s="282"/>
      <c r="F134" s="282"/>
      <c r="G134" s="282"/>
      <c r="H134" s="282"/>
      <c r="I134" s="282"/>
      <c r="J134" s="282"/>
      <c r="K134" s="282"/>
      <c r="L134" s="282"/>
      <c r="M134" s="282"/>
      <c r="N134" s="282"/>
      <c r="O134" s="282"/>
      <c r="P134" s="282"/>
      <c r="Q134" s="282"/>
    </row>
    <row r="135" spans="1:17" x14ac:dyDescent="0.3">
      <c r="A135" s="282"/>
      <c r="B135" s="282"/>
      <c r="C135" s="282"/>
      <c r="D135" s="282"/>
      <c r="E135" s="282"/>
      <c r="F135" s="282"/>
      <c r="G135" s="282"/>
      <c r="H135" s="282"/>
      <c r="I135" s="282"/>
      <c r="J135" s="282"/>
      <c r="K135" s="282"/>
      <c r="L135" s="282"/>
      <c r="M135" s="282"/>
      <c r="N135" s="282"/>
      <c r="O135" s="282"/>
      <c r="P135" s="282"/>
      <c r="Q135" s="282"/>
    </row>
    <row r="136" spans="1:17" x14ac:dyDescent="0.3">
      <c r="A136" s="282"/>
      <c r="B136" s="282"/>
      <c r="C136" s="282"/>
      <c r="D136" s="282"/>
      <c r="E136" s="282"/>
      <c r="F136" s="282"/>
      <c r="G136" s="282"/>
      <c r="H136" s="282"/>
      <c r="I136" s="282"/>
      <c r="J136" s="282"/>
      <c r="K136" s="282"/>
      <c r="L136" s="282"/>
      <c r="M136" s="282"/>
      <c r="N136" s="282"/>
      <c r="O136" s="282"/>
      <c r="P136" s="282"/>
      <c r="Q136" s="282"/>
    </row>
    <row r="137" spans="1:17" x14ac:dyDescent="0.3">
      <c r="A137" s="282"/>
      <c r="B137" s="282"/>
      <c r="C137" s="282"/>
      <c r="D137" s="282"/>
      <c r="E137" s="282"/>
      <c r="F137" s="282"/>
      <c r="G137" s="282"/>
      <c r="H137" s="282"/>
      <c r="I137" s="282"/>
      <c r="J137" s="282"/>
      <c r="K137" s="282"/>
      <c r="L137" s="282"/>
      <c r="M137" s="282"/>
      <c r="N137" s="282"/>
      <c r="O137" s="282"/>
      <c r="P137" s="282"/>
      <c r="Q137" s="282"/>
    </row>
    <row r="138" spans="1:17" x14ac:dyDescent="0.3">
      <c r="A138" s="282"/>
      <c r="B138" s="282"/>
      <c r="C138" s="282"/>
      <c r="D138" s="282"/>
      <c r="E138" s="282"/>
      <c r="F138" s="282"/>
      <c r="G138" s="282"/>
      <c r="H138" s="282"/>
      <c r="I138" s="282"/>
      <c r="J138" s="282"/>
      <c r="K138" s="282"/>
      <c r="L138" s="282"/>
      <c r="M138" s="282"/>
      <c r="N138" s="282"/>
      <c r="O138" s="282"/>
      <c r="P138" s="282"/>
      <c r="Q138" s="282"/>
    </row>
    <row r="139" spans="1:17" x14ac:dyDescent="0.3">
      <c r="A139" s="282"/>
      <c r="B139" s="282"/>
      <c r="C139" s="282"/>
      <c r="D139" s="282"/>
      <c r="E139" s="282"/>
      <c r="F139" s="282"/>
      <c r="G139" s="282"/>
      <c r="H139" s="282"/>
      <c r="I139" s="282"/>
      <c r="J139" s="282"/>
      <c r="K139" s="282"/>
      <c r="L139" s="282"/>
      <c r="M139" s="282"/>
      <c r="N139" s="282"/>
      <c r="O139" s="282"/>
      <c r="P139" s="282"/>
      <c r="Q139" s="282"/>
    </row>
    <row r="140" spans="1:17" x14ac:dyDescent="0.3">
      <c r="A140" s="282"/>
      <c r="B140" s="282"/>
      <c r="C140" s="282"/>
      <c r="D140" s="282"/>
      <c r="E140" s="282"/>
      <c r="F140" s="282"/>
      <c r="G140" s="282"/>
      <c r="H140" s="282"/>
      <c r="I140" s="282"/>
      <c r="J140" s="282"/>
      <c r="K140" s="282"/>
      <c r="L140" s="282"/>
      <c r="M140" s="282"/>
      <c r="N140" s="282"/>
      <c r="O140" s="282"/>
      <c r="P140" s="282"/>
      <c r="Q140" s="282"/>
    </row>
    <row r="141" spans="1:17" x14ac:dyDescent="0.3">
      <c r="A141" s="282"/>
      <c r="B141" s="282"/>
      <c r="C141" s="282"/>
      <c r="D141" s="282"/>
      <c r="E141" s="282"/>
      <c r="F141" s="282"/>
      <c r="G141" s="282"/>
      <c r="H141" s="282"/>
      <c r="I141" s="282"/>
      <c r="J141" s="282"/>
      <c r="K141" s="282"/>
      <c r="L141" s="282"/>
      <c r="M141" s="282"/>
      <c r="N141" s="282"/>
      <c r="O141" s="282"/>
      <c r="P141" s="282"/>
      <c r="Q141" s="282"/>
    </row>
    <row r="142" spans="1:17" x14ac:dyDescent="0.3">
      <c r="A142" s="282"/>
      <c r="B142" s="282"/>
      <c r="C142" s="282"/>
      <c r="D142" s="282"/>
      <c r="E142" s="282"/>
      <c r="F142" s="282"/>
      <c r="G142" s="282"/>
      <c r="H142" s="282"/>
      <c r="I142" s="282"/>
      <c r="J142" s="282"/>
      <c r="K142" s="282"/>
      <c r="L142" s="282"/>
      <c r="M142" s="282"/>
      <c r="N142" s="282"/>
      <c r="O142" s="282"/>
      <c r="P142" s="282"/>
      <c r="Q142" s="282"/>
    </row>
    <row r="143" spans="1:17" x14ac:dyDescent="0.3">
      <c r="A143" s="282"/>
      <c r="B143" s="282"/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  <c r="M143" s="282"/>
      <c r="N143" s="282"/>
      <c r="O143" s="282"/>
      <c r="P143" s="282"/>
      <c r="Q143" s="282"/>
    </row>
    <row r="144" spans="1:17" x14ac:dyDescent="0.3">
      <c r="A144" s="282"/>
      <c r="B144" s="282"/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  <c r="M144" s="282"/>
      <c r="N144" s="282"/>
      <c r="O144" s="282"/>
      <c r="P144" s="282"/>
      <c r="Q144" s="282"/>
    </row>
  </sheetData>
  <mergeCells count="66">
    <mergeCell ref="A6:Q6"/>
    <mergeCell ref="A19:Q19"/>
    <mergeCell ref="A1:A2"/>
    <mergeCell ref="B1:B2"/>
    <mergeCell ref="A21:A24"/>
    <mergeCell ref="C7:I7"/>
    <mergeCell ref="K7:Q7"/>
    <mergeCell ref="K8:Q8"/>
    <mergeCell ref="K9:Q9"/>
    <mergeCell ref="K10:Q10"/>
    <mergeCell ref="K11:Q11"/>
    <mergeCell ref="C8:I8"/>
    <mergeCell ref="C9:I9"/>
    <mergeCell ref="C10:I10"/>
    <mergeCell ref="C11:I11"/>
    <mergeCell ref="K21:Q21"/>
    <mergeCell ref="A25:A28"/>
    <mergeCell ref="K12:Q12"/>
    <mergeCell ref="K13:Q13"/>
    <mergeCell ref="K14:Q14"/>
    <mergeCell ref="K15:Q15"/>
    <mergeCell ref="K16:Q16"/>
    <mergeCell ref="K17:Q17"/>
    <mergeCell ref="C14:I14"/>
    <mergeCell ref="C15:I15"/>
    <mergeCell ref="C16:I16"/>
    <mergeCell ref="C17:I17"/>
    <mergeCell ref="C12:I12"/>
    <mergeCell ref="C13:I13"/>
    <mergeCell ref="C20:I20"/>
    <mergeCell ref="C25:I25"/>
    <mergeCell ref="C26:I26"/>
    <mergeCell ref="C27:I27"/>
    <mergeCell ref="C28:I28"/>
    <mergeCell ref="K24:Q24"/>
    <mergeCell ref="K27:Q27"/>
    <mergeCell ref="K26:Q26"/>
    <mergeCell ref="K25:Q25"/>
    <mergeCell ref="K28:Q28"/>
    <mergeCell ref="C24:I24"/>
    <mergeCell ref="K22:Q22"/>
    <mergeCell ref="K23:Q23"/>
    <mergeCell ref="C21:I21"/>
    <mergeCell ref="C22:I22"/>
    <mergeCell ref="C23:I23"/>
    <mergeCell ref="P3:P4"/>
    <mergeCell ref="Q3:Q4"/>
    <mergeCell ref="C1:C2"/>
    <mergeCell ref="K20:Q20"/>
    <mergeCell ref="E3:E4"/>
    <mergeCell ref="F3:F4"/>
    <mergeCell ref="G3:G4"/>
    <mergeCell ref="H3:H4"/>
    <mergeCell ref="I3:I4"/>
    <mergeCell ref="J3:J4"/>
    <mergeCell ref="K3:K4"/>
    <mergeCell ref="L3:L4"/>
    <mergeCell ref="E1:G1"/>
    <mergeCell ref="H1:J1"/>
    <mergeCell ref="K1:M1"/>
    <mergeCell ref="O1:Q1"/>
    <mergeCell ref="A3:A4"/>
    <mergeCell ref="C3:C4"/>
    <mergeCell ref="D3:D4"/>
    <mergeCell ref="M3:M4"/>
    <mergeCell ref="O3:O4"/>
  </mergeCells>
  <conditionalFormatting sqref="Q3">
    <cfRule type="iconSet" priority="22">
      <iconSet>
        <cfvo type="percent" val="0"/>
        <cfvo type="percent" val="33"/>
        <cfvo type="percent" val="67"/>
      </iconSet>
    </cfRule>
  </conditionalFormatting>
  <conditionalFormatting sqref="A8:A17">
    <cfRule type="expression" dxfId="2" priority="4">
      <formula>AND(AND($A8&lt;TODAY(), $J8 &lt;&gt;"Готово"),AND($A8&lt;TODAY(),$J8 &lt;&gt;"Не делаем"))</formula>
    </cfRule>
  </conditionalFormatting>
  <conditionalFormatting sqref="J1:J1048576">
    <cfRule type="expression" dxfId="1" priority="1">
      <formula>$J1 = "Перенос"</formula>
    </cfRule>
    <cfRule type="expression" dxfId="0" priority="2">
      <formula>OR($J1 = "Готово", $J1 ="Не Делаем")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F3FD-5FC7-4774-9CEF-D899FFAE8983}">
  <sheetPr codeName="Лист12"/>
  <dimension ref="A1"/>
  <sheetViews>
    <sheetView workbookViewId="0">
      <selection activeCell="R17" sqref="R17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D2206-7140-4A83-8F02-E43D8AF9B375}">
  <sheetPr codeName="Лист9"/>
  <dimension ref="A1:AK108"/>
  <sheetViews>
    <sheetView zoomScale="70" zoomScaleNormal="70" workbookViewId="0">
      <pane xSplit="4" ySplit="2" topLeftCell="M3" activePane="bottomRight" state="frozen"/>
      <selection pane="topRight"/>
      <selection pane="bottomLeft"/>
      <selection pane="bottomRight" activeCell="C25" sqref="C25"/>
    </sheetView>
  </sheetViews>
  <sheetFormatPr defaultColWidth="8.88671875" defaultRowHeight="14.4" outlineLevelCol="1" x14ac:dyDescent="0.3"/>
  <cols>
    <col min="1" max="1" width="9.5546875" style="244" customWidth="1"/>
    <col min="2" max="2" width="13" style="246" customWidth="1"/>
    <col min="3" max="3" width="64.44140625" style="244" customWidth="1"/>
    <col min="4" max="4" width="12.6640625" style="247" bestFit="1" customWidth="1"/>
    <col min="5" max="6" width="11" style="244" customWidth="1" outlineLevel="1"/>
    <col min="7" max="7" width="8.88671875" style="244" customWidth="1" outlineLevel="1"/>
    <col min="8" max="9" width="10.88671875" style="244" customWidth="1" outlineLevel="1"/>
    <col min="10" max="10" width="9.5546875" style="245" customWidth="1" outlineLevel="1"/>
    <col min="11" max="11" width="10.33203125" style="244" customWidth="1" outlineLevel="1"/>
    <col min="12" max="12" width="9.33203125" style="244" customWidth="1" outlineLevel="1"/>
    <col min="13" max="13" width="8.88671875" style="244" customWidth="1" outlineLevel="1"/>
    <col min="14" max="14" width="10.33203125" style="244" customWidth="1" outlineLevel="1"/>
    <col min="15" max="15" width="10.44140625" style="244" customWidth="1" outlineLevel="1"/>
    <col min="16" max="16" width="9.44140625" style="244" customWidth="1" outlineLevel="1"/>
    <col min="17" max="17" width="8.88671875" style="5"/>
    <col min="18" max="19" width="11.109375" style="245" bestFit="1" customWidth="1"/>
    <col min="20" max="20" width="9.44140625" style="245" customWidth="1"/>
    <col min="21" max="21" width="8.88671875" style="6"/>
    <col min="22" max="22" width="11.109375" style="245" bestFit="1" customWidth="1" outlineLevel="1"/>
    <col min="23" max="23" width="9.44140625" style="245" bestFit="1" customWidth="1" outlineLevel="1"/>
    <col min="24" max="24" width="8.88671875" style="245" customWidth="1" outlineLevel="1"/>
    <col min="25" max="25" width="11.109375" style="245" bestFit="1" customWidth="1" outlineLevel="1"/>
    <col min="26" max="27" width="8.88671875" style="245" customWidth="1" outlineLevel="1"/>
    <col min="28" max="28" width="11.109375" style="245" bestFit="1" customWidth="1" outlineLevel="1"/>
    <col min="29" max="30" width="8.88671875" style="245" customWidth="1" outlineLevel="1"/>
    <col min="31" max="31" width="11.109375" style="245" bestFit="1" customWidth="1" outlineLevel="1"/>
    <col min="32" max="33" width="8.88671875" style="245" customWidth="1" outlineLevel="1"/>
    <col min="34" max="34" width="8.88671875" style="244"/>
    <col min="35" max="36" width="11.109375" style="245" bestFit="1" customWidth="1"/>
    <col min="37" max="37" width="10.5546875" style="245" bestFit="1" customWidth="1"/>
    <col min="38" max="16384" width="8.88671875" style="7"/>
  </cols>
  <sheetData>
    <row r="1" spans="1:37" x14ac:dyDescent="0.3">
      <c r="A1" s="548"/>
      <c r="B1" s="2"/>
      <c r="C1" s="3" t="s">
        <v>302</v>
      </c>
      <c r="D1" s="4" t="s">
        <v>0</v>
      </c>
      <c r="E1" s="545" t="s">
        <v>303</v>
      </c>
      <c r="F1" s="546"/>
      <c r="G1" s="547"/>
      <c r="H1" s="550" t="s">
        <v>304</v>
      </c>
      <c r="I1" s="550"/>
      <c r="J1" s="551"/>
      <c r="K1" s="545" t="s">
        <v>305</v>
      </c>
      <c r="L1" s="546"/>
      <c r="M1" s="551"/>
      <c r="N1" s="545" t="s">
        <v>306</v>
      </c>
      <c r="O1" s="546"/>
      <c r="P1" s="547"/>
      <c r="R1" s="545" t="s">
        <v>307</v>
      </c>
      <c r="S1" s="546"/>
      <c r="T1" s="547"/>
      <c r="V1" s="545" t="s">
        <v>308</v>
      </c>
      <c r="W1" s="546"/>
      <c r="X1" s="547"/>
      <c r="Y1" s="550" t="s">
        <v>309</v>
      </c>
      <c r="Z1" s="550"/>
      <c r="AA1" s="551"/>
      <c r="AB1" s="545" t="s">
        <v>310</v>
      </c>
      <c r="AC1" s="546"/>
      <c r="AD1" s="551"/>
      <c r="AE1" s="545" t="s">
        <v>311</v>
      </c>
      <c r="AF1" s="546"/>
      <c r="AG1" s="547"/>
      <c r="AH1" s="6"/>
      <c r="AI1" s="545" t="s">
        <v>271</v>
      </c>
      <c r="AJ1" s="546"/>
      <c r="AK1" s="547"/>
    </row>
    <row r="2" spans="1:37" ht="15" thickBot="1" x14ac:dyDescent="0.35">
      <c r="A2" s="549"/>
      <c r="B2" s="8" t="s">
        <v>312</v>
      </c>
      <c r="C2" s="9" t="s">
        <v>1</v>
      </c>
      <c r="D2" s="10" t="s">
        <v>2</v>
      </c>
      <c r="E2" s="11" t="s">
        <v>3</v>
      </c>
      <c r="F2" s="12" t="s">
        <v>4</v>
      </c>
      <c r="G2" s="9" t="s">
        <v>5</v>
      </c>
      <c r="H2" s="12" t="s">
        <v>3</v>
      </c>
      <c r="I2" s="13" t="s">
        <v>4</v>
      </c>
      <c r="J2" s="14" t="s">
        <v>5</v>
      </c>
      <c r="K2" s="11" t="s">
        <v>3</v>
      </c>
      <c r="L2" s="12" t="s">
        <v>4</v>
      </c>
      <c r="M2" s="14" t="s">
        <v>5</v>
      </c>
      <c r="N2" s="11" t="s">
        <v>3</v>
      </c>
      <c r="O2" s="12" t="s">
        <v>4</v>
      </c>
      <c r="P2" s="9" t="s">
        <v>5</v>
      </c>
      <c r="R2" s="11" t="s">
        <v>3</v>
      </c>
      <c r="S2" s="12" t="s">
        <v>4</v>
      </c>
      <c r="T2" s="9" t="s">
        <v>5</v>
      </c>
      <c r="V2" s="11" t="s">
        <v>3</v>
      </c>
      <c r="W2" s="12" t="s">
        <v>4</v>
      </c>
      <c r="X2" s="9" t="s">
        <v>5</v>
      </c>
      <c r="Y2" s="12" t="s">
        <v>3</v>
      </c>
      <c r="Z2" s="13" t="s">
        <v>4</v>
      </c>
      <c r="AA2" s="14" t="s">
        <v>5</v>
      </c>
      <c r="AB2" s="11" t="s">
        <v>3</v>
      </c>
      <c r="AC2" s="12" t="s">
        <v>4</v>
      </c>
      <c r="AD2" s="14" t="s">
        <v>5</v>
      </c>
      <c r="AE2" s="11" t="s">
        <v>3</v>
      </c>
      <c r="AF2" s="12" t="s">
        <v>4</v>
      </c>
      <c r="AG2" s="9" t="s">
        <v>5</v>
      </c>
      <c r="AH2" s="6"/>
      <c r="AI2" s="11" t="s">
        <v>3</v>
      </c>
      <c r="AJ2" s="12" t="s">
        <v>4</v>
      </c>
      <c r="AK2" s="9" t="s">
        <v>5</v>
      </c>
    </row>
    <row r="3" spans="1:37" x14ac:dyDescent="0.3">
      <c r="A3" s="552" t="s">
        <v>6</v>
      </c>
      <c r="B3" s="553" t="s">
        <v>7</v>
      </c>
      <c r="C3" s="15" t="s">
        <v>8</v>
      </c>
      <c r="D3" s="16">
        <v>1165000</v>
      </c>
      <c r="E3" s="17">
        <v>367500</v>
      </c>
      <c r="F3" s="18">
        <v>344480</v>
      </c>
      <c r="G3" s="19">
        <f t="shared" ref="G3:G10" si="0">F3/E3</f>
        <v>0.93736054421768711</v>
      </c>
      <c r="H3" s="20">
        <v>367500</v>
      </c>
      <c r="I3" s="21">
        <v>345377</v>
      </c>
      <c r="J3" s="22">
        <f t="shared" ref="J3:J10" si="1">I3/H3</f>
        <v>0.9398013605442177</v>
      </c>
      <c r="K3" s="17">
        <v>367500</v>
      </c>
      <c r="L3" s="21">
        <v>340040</v>
      </c>
      <c r="M3" s="22">
        <f t="shared" ref="M3:M10" si="2">L3/K3</f>
        <v>0.92527891156462583</v>
      </c>
      <c r="N3" s="23">
        <v>367500</v>
      </c>
      <c r="O3" s="24">
        <v>351125</v>
      </c>
      <c r="P3" s="25">
        <f t="shared" ref="P3:P10" si="3">O3/N3</f>
        <v>0.95544217687074828</v>
      </c>
      <c r="R3" s="26">
        <v>367500</v>
      </c>
      <c r="S3" s="27">
        <v>369924</v>
      </c>
      <c r="T3" s="28">
        <f t="shared" ref="T3:T10" si="4">S3/R3</f>
        <v>1.006595918367347</v>
      </c>
      <c r="V3" s="17">
        <v>389500</v>
      </c>
      <c r="W3" s="18">
        <v>373107</v>
      </c>
      <c r="X3" s="19">
        <f t="shared" ref="X3:X10" si="5">W3/V3</f>
        <v>0.95791270860077027</v>
      </c>
      <c r="Y3" s="20">
        <v>389500</v>
      </c>
      <c r="Z3" s="18">
        <v>373107</v>
      </c>
      <c r="AA3" s="22">
        <f t="shared" ref="AA3:AA8" si="6">Z3/Y3</f>
        <v>0.95791270860077027</v>
      </c>
      <c r="AB3" s="17">
        <v>389500</v>
      </c>
      <c r="AC3" s="21">
        <v>370928</v>
      </c>
      <c r="AD3" s="22">
        <f t="shared" ref="AD3:AD8" si="7">AC3/AB3</f>
        <v>0.95231835686777921</v>
      </c>
      <c r="AE3" s="17">
        <v>389500</v>
      </c>
      <c r="AF3" s="24"/>
      <c r="AG3" s="19">
        <f t="shared" ref="AG3:AG8" si="8">AF3/AE3</f>
        <v>0</v>
      </c>
      <c r="AH3" s="6"/>
      <c r="AI3" s="17">
        <v>389500</v>
      </c>
      <c r="AJ3" s="24">
        <f>AC3</f>
        <v>370928</v>
      </c>
      <c r="AK3" s="19">
        <f t="shared" ref="AK3:AK10" si="9">AJ3/AI3</f>
        <v>0.95231835686777921</v>
      </c>
    </row>
    <row r="4" spans="1:37" x14ac:dyDescent="0.3">
      <c r="A4" s="458"/>
      <c r="B4" s="460"/>
      <c r="C4" s="29" t="s">
        <v>9</v>
      </c>
      <c r="D4" s="30">
        <v>5087</v>
      </c>
      <c r="E4" s="31">
        <v>4978</v>
      </c>
      <c r="F4" s="32">
        <v>5273</v>
      </c>
      <c r="G4" s="33">
        <f t="shared" si="0"/>
        <v>1.0592607472880675</v>
      </c>
      <c r="H4" s="31">
        <v>4978</v>
      </c>
      <c r="I4" s="34">
        <v>5336</v>
      </c>
      <c r="J4" s="35">
        <f t="shared" si="1"/>
        <v>1.0719164323021293</v>
      </c>
      <c r="K4" s="31">
        <v>4978</v>
      </c>
      <c r="L4" s="34">
        <v>5371.54</v>
      </c>
      <c r="M4" s="35">
        <f t="shared" si="2"/>
        <v>1.0790558457211732</v>
      </c>
      <c r="N4" s="31">
        <v>4978</v>
      </c>
      <c r="O4" s="36">
        <v>4972</v>
      </c>
      <c r="P4" s="33">
        <f t="shared" si="3"/>
        <v>0.99879469666532739</v>
      </c>
      <c r="R4" s="31">
        <v>4978</v>
      </c>
      <c r="S4" s="32">
        <v>5252</v>
      </c>
      <c r="T4" s="33">
        <f t="shared" si="4"/>
        <v>1.0550421856167136</v>
      </c>
      <c r="V4" s="31">
        <v>5052</v>
      </c>
      <c r="W4" s="32">
        <v>5233</v>
      </c>
      <c r="X4" s="33">
        <f t="shared" si="5"/>
        <v>1.035827395091053</v>
      </c>
      <c r="Y4" s="31">
        <v>5052</v>
      </c>
      <c r="Z4" s="32">
        <v>5271</v>
      </c>
      <c r="AA4" s="35">
        <f t="shared" si="6"/>
        <v>1.0433491686460807</v>
      </c>
      <c r="AB4" s="31">
        <v>5052</v>
      </c>
      <c r="AC4" s="34">
        <v>5301</v>
      </c>
      <c r="AD4" s="35">
        <f t="shared" si="7"/>
        <v>1.0492874109263659</v>
      </c>
      <c r="AE4" s="31">
        <v>5052</v>
      </c>
      <c r="AF4" s="34"/>
      <c r="AG4" s="33">
        <f t="shared" si="8"/>
        <v>0</v>
      </c>
      <c r="AH4" s="6"/>
      <c r="AI4" s="31">
        <v>5052</v>
      </c>
      <c r="AJ4" s="32">
        <f t="shared" ref="AJ4:AJ10" si="10">AVERAGE(W4,Z4,AC4,AF4)</f>
        <v>5268.333333333333</v>
      </c>
      <c r="AK4" s="33">
        <f t="shared" si="9"/>
        <v>1.0428213248878331</v>
      </c>
    </row>
    <row r="5" spans="1:37" x14ac:dyDescent="0.3">
      <c r="A5" s="458"/>
      <c r="B5" s="460"/>
      <c r="C5" s="29" t="s">
        <v>10</v>
      </c>
      <c r="D5" s="37">
        <v>0.6</v>
      </c>
      <c r="E5" s="38">
        <v>0.6</v>
      </c>
      <c r="F5" s="39">
        <v>0.36899999999999999</v>
      </c>
      <c r="G5" s="33">
        <f t="shared" si="0"/>
        <v>0.61499999999999999</v>
      </c>
      <c r="H5" s="40">
        <v>0.6</v>
      </c>
      <c r="I5" s="39">
        <v>0.38800000000000001</v>
      </c>
      <c r="J5" s="35">
        <f t="shared" si="1"/>
        <v>0.64666666666666672</v>
      </c>
      <c r="K5" s="38">
        <v>0.6</v>
      </c>
      <c r="L5" s="39">
        <v>0.39500000000000002</v>
      </c>
      <c r="M5" s="35">
        <f t="shared" si="2"/>
        <v>0.65833333333333344</v>
      </c>
      <c r="N5" s="38">
        <v>0.6</v>
      </c>
      <c r="O5" s="39">
        <v>0.36099999999999999</v>
      </c>
      <c r="P5" s="33">
        <f t="shared" si="3"/>
        <v>0.60166666666666668</v>
      </c>
      <c r="R5" s="38">
        <v>0.6</v>
      </c>
      <c r="S5" s="39">
        <f t="shared" ref="S5:S10" si="11">AVERAGE(F5,I5,L5,O5)</f>
        <v>0.37825000000000003</v>
      </c>
      <c r="T5" s="33">
        <f t="shared" si="4"/>
        <v>0.63041666666666674</v>
      </c>
      <c r="V5" s="38">
        <v>0.6</v>
      </c>
      <c r="W5" s="39">
        <v>0.36199999999999999</v>
      </c>
      <c r="X5" s="33">
        <f t="shared" si="5"/>
        <v>0.60333333333333339</v>
      </c>
      <c r="Y5" s="40">
        <v>0.6</v>
      </c>
      <c r="Z5" s="39">
        <v>0.371</v>
      </c>
      <c r="AA5" s="35">
        <f t="shared" si="6"/>
        <v>0.6183333333333334</v>
      </c>
      <c r="AB5" s="38">
        <v>0.6</v>
      </c>
      <c r="AC5" s="39">
        <v>0.39400000000000002</v>
      </c>
      <c r="AD5" s="35">
        <f t="shared" si="7"/>
        <v>0.65666666666666673</v>
      </c>
      <c r="AE5" s="38">
        <v>0.6</v>
      </c>
      <c r="AF5" s="39"/>
      <c r="AG5" s="33">
        <f t="shared" si="8"/>
        <v>0</v>
      </c>
      <c r="AH5" s="6"/>
      <c r="AI5" s="38">
        <v>0.6</v>
      </c>
      <c r="AJ5" s="39">
        <f t="shared" si="10"/>
        <v>0.37566666666666665</v>
      </c>
      <c r="AK5" s="33">
        <f t="shared" si="9"/>
        <v>0.62611111111111106</v>
      </c>
    </row>
    <row r="6" spans="1:37" x14ac:dyDescent="0.3">
      <c r="A6" s="458"/>
      <c r="B6" s="461" t="s">
        <v>11</v>
      </c>
      <c r="C6" s="41" t="s">
        <v>12</v>
      </c>
      <c r="D6" s="42">
        <v>0.98</v>
      </c>
      <c r="E6" s="43">
        <v>0.98</v>
      </c>
      <c r="F6" s="44">
        <v>0.99199999999999999</v>
      </c>
      <c r="G6" s="45">
        <f t="shared" si="0"/>
        <v>1.0122448979591836</v>
      </c>
      <c r="H6" s="43">
        <v>0.98</v>
      </c>
      <c r="I6" s="46">
        <v>0.99</v>
      </c>
      <c r="J6" s="45">
        <f t="shared" si="1"/>
        <v>1.010204081632653</v>
      </c>
      <c r="K6" s="43">
        <v>0.98</v>
      </c>
      <c r="L6" s="44">
        <v>0.99</v>
      </c>
      <c r="M6" s="45">
        <f t="shared" si="2"/>
        <v>1.010204081632653</v>
      </c>
      <c r="N6" s="43">
        <v>0.98</v>
      </c>
      <c r="O6" s="44">
        <v>0.99199999999999999</v>
      </c>
      <c r="P6" s="45">
        <f t="shared" si="3"/>
        <v>1.0122448979591836</v>
      </c>
      <c r="R6" s="43">
        <v>0.98</v>
      </c>
      <c r="S6" s="47">
        <f t="shared" si="11"/>
        <v>0.99099999999999999</v>
      </c>
      <c r="T6" s="48">
        <f>S6/R6</f>
        <v>1.0112244897959184</v>
      </c>
      <c r="V6" s="43">
        <v>0.98</v>
      </c>
      <c r="W6" s="49">
        <v>0.99250000000000005</v>
      </c>
      <c r="X6" s="50">
        <f t="shared" si="5"/>
        <v>1.0127551020408163</v>
      </c>
      <c r="Y6" s="43">
        <v>0.98</v>
      </c>
      <c r="Z6" s="46">
        <v>0.996</v>
      </c>
      <c r="AA6" s="51">
        <f t="shared" si="6"/>
        <v>1.0163265306122449</v>
      </c>
      <c r="AB6" s="43">
        <v>0.98</v>
      </c>
      <c r="AC6" s="47">
        <v>0.99739999999999995</v>
      </c>
      <c r="AD6" s="52">
        <f t="shared" si="7"/>
        <v>1.0177551020408162</v>
      </c>
      <c r="AE6" s="43">
        <v>0.98</v>
      </c>
      <c r="AF6" s="53"/>
      <c r="AG6" s="54">
        <f t="shared" si="8"/>
        <v>0</v>
      </c>
      <c r="AH6" s="6"/>
      <c r="AI6" s="43">
        <v>0.98</v>
      </c>
      <c r="AJ6" s="47">
        <f t="shared" si="10"/>
        <v>0.99529999999999996</v>
      </c>
      <c r="AK6" s="55">
        <f t="shared" si="9"/>
        <v>1.0156122448979592</v>
      </c>
    </row>
    <row r="7" spans="1:37" x14ac:dyDescent="0.3">
      <c r="A7" s="458"/>
      <c r="B7" s="462"/>
      <c r="C7" s="41" t="s">
        <v>13</v>
      </c>
      <c r="D7" s="42">
        <v>0.98</v>
      </c>
      <c r="E7" s="43">
        <v>0.98</v>
      </c>
      <c r="F7" s="44">
        <v>0.99399999999999999</v>
      </c>
      <c r="G7" s="45">
        <f t="shared" si="0"/>
        <v>1.0142857142857142</v>
      </c>
      <c r="H7" s="43">
        <v>0.98</v>
      </c>
      <c r="I7" s="46">
        <v>0.99199999999999999</v>
      </c>
      <c r="J7" s="45">
        <f t="shared" si="1"/>
        <v>1.0122448979591836</v>
      </c>
      <c r="K7" s="43">
        <v>0.98</v>
      </c>
      <c r="L7" s="44">
        <v>0.99399999999999999</v>
      </c>
      <c r="M7" s="45">
        <f t="shared" si="2"/>
        <v>1.0142857142857142</v>
      </c>
      <c r="N7" s="43">
        <v>0.98</v>
      </c>
      <c r="O7" s="44">
        <v>0.99</v>
      </c>
      <c r="P7" s="45">
        <f t="shared" si="3"/>
        <v>1.010204081632653</v>
      </c>
      <c r="R7" s="43">
        <v>0.98</v>
      </c>
      <c r="S7" s="47">
        <f t="shared" si="11"/>
        <v>0.99249999999999994</v>
      </c>
      <c r="T7" s="48">
        <f t="shared" si="4"/>
        <v>1.0127551020408163</v>
      </c>
      <c r="V7" s="43">
        <v>0.98</v>
      </c>
      <c r="W7" s="49">
        <v>0.98499999999999999</v>
      </c>
      <c r="X7" s="50">
        <f t="shared" si="5"/>
        <v>1.0051020408163265</v>
      </c>
      <c r="Y7" s="43">
        <v>0.98</v>
      </c>
      <c r="Z7" s="46">
        <v>0.99199999999999999</v>
      </c>
      <c r="AA7" s="51">
        <f t="shared" si="6"/>
        <v>1.0122448979591836</v>
      </c>
      <c r="AB7" s="43">
        <v>0.98</v>
      </c>
      <c r="AC7" s="47">
        <v>0.99250000000000005</v>
      </c>
      <c r="AD7" s="52">
        <f t="shared" si="7"/>
        <v>1.0127551020408163</v>
      </c>
      <c r="AE7" s="43">
        <v>0.98</v>
      </c>
      <c r="AF7" s="53"/>
      <c r="AG7" s="54">
        <f t="shared" si="8"/>
        <v>0</v>
      </c>
      <c r="AH7" s="6"/>
      <c r="AI7" s="43">
        <v>0.98</v>
      </c>
      <c r="AJ7" s="47">
        <f t="shared" si="10"/>
        <v>0.98983333333333334</v>
      </c>
      <c r="AK7" s="55">
        <f t="shared" si="9"/>
        <v>1.0100340136054422</v>
      </c>
    </row>
    <row r="8" spans="1:37" x14ac:dyDescent="0.3">
      <c r="A8" s="458"/>
      <c r="B8" s="463"/>
      <c r="C8" s="56" t="s">
        <v>14</v>
      </c>
      <c r="D8" s="57">
        <v>0.98</v>
      </c>
      <c r="E8" s="58">
        <v>0.98</v>
      </c>
      <c r="F8" s="49">
        <v>0.99839999999999995</v>
      </c>
      <c r="G8" s="50">
        <f t="shared" si="0"/>
        <v>1.0187755102040816</v>
      </c>
      <c r="H8" s="49">
        <v>0.98</v>
      </c>
      <c r="I8" s="59">
        <v>0.96540000000000004</v>
      </c>
      <c r="J8" s="60">
        <f t="shared" si="1"/>
        <v>0.98510204081632657</v>
      </c>
      <c r="K8" s="58">
        <v>0.98</v>
      </c>
      <c r="L8" s="49">
        <v>0.999</v>
      </c>
      <c r="M8" s="60">
        <f t="shared" si="2"/>
        <v>1.0193877551020409</v>
      </c>
      <c r="N8" s="58">
        <v>0.98</v>
      </c>
      <c r="O8" s="49">
        <v>0.99870000000000003</v>
      </c>
      <c r="P8" s="50">
        <f t="shared" si="3"/>
        <v>1.0190816326530612</v>
      </c>
      <c r="R8" s="58">
        <v>0.98</v>
      </c>
      <c r="S8" s="49">
        <f t="shared" si="11"/>
        <v>0.99037500000000001</v>
      </c>
      <c r="T8" s="48">
        <f t="shared" si="4"/>
        <v>1.0105867346938775</v>
      </c>
      <c r="V8" s="43">
        <v>0.98</v>
      </c>
      <c r="W8" s="49">
        <v>0.97060000000000002</v>
      </c>
      <c r="X8" s="50">
        <f t="shared" si="5"/>
        <v>0.99040816326530612</v>
      </c>
      <c r="Y8" s="44">
        <v>0.98</v>
      </c>
      <c r="Z8" s="46">
        <v>0.99929999999999997</v>
      </c>
      <c r="AA8" s="51">
        <f t="shared" si="6"/>
        <v>1.0196938775510205</v>
      </c>
      <c r="AB8" s="43">
        <v>0.98</v>
      </c>
      <c r="AC8" s="47">
        <v>0.998</v>
      </c>
      <c r="AD8" s="52">
        <f t="shared" si="7"/>
        <v>1.0183673469387755</v>
      </c>
      <c r="AE8" s="61">
        <v>0.98</v>
      </c>
      <c r="AF8" s="53"/>
      <c r="AG8" s="54">
        <f t="shared" si="8"/>
        <v>0</v>
      </c>
      <c r="AH8" s="6"/>
      <c r="AI8" s="43">
        <v>0.98</v>
      </c>
      <c r="AJ8" s="47">
        <f t="shared" si="10"/>
        <v>0.98930000000000007</v>
      </c>
      <c r="AK8" s="55">
        <f t="shared" si="9"/>
        <v>1.0094897959183675</v>
      </c>
    </row>
    <row r="9" spans="1:37" x14ac:dyDescent="0.3">
      <c r="A9" s="458"/>
      <c r="B9" s="460" t="s">
        <v>15</v>
      </c>
      <c r="C9" s="62" t="s">
        <v>16</v>
      </c>
      <c r="D9" s="63">
        <v>0.95</v>
      </c>
      <c r="E9" s="64">
        <f>$D$9</f>
        <v>0.95</v>
      </c>
      <c r="F9" s="39">
        <v>0.99</v>
      </c>
      <c r="G9" s="65">
        <f t="shared" si="0"/>
        <v>1.0421052631578949</v>
      </c>
      <c r="H9" s="66">
        <f>$D$9</f>
        <v>0.95</v>
      </c>
      <c r="I9" s="67">
        <v>1</v>
      </c>
      <c r="J9" s="68">
        <f t="shared" si="1"/>
        <v>1.0526315789473684</v>
      </c>
      <c r="K9" s="64">
        <f>$D$9</f>
        <v>0.95</v>
      </c>
      <c r="L9" s="67">
        <v>1</v>
      </c>
      <c r="M9" s="68">
        <f t="shared" si="2"/>
        <v>1.0526315789473684</v>
      </c>
      <c r="N9" s="69">
        <f>$D$9</f>
        <v>0.95</v>
      </c>
      <c r="O9" s="39">
        <v>0.99</v>
      </c>
      <c r="P9" s="70">
        <f t="shared" si="3"/>
        <v>1.0421052631578949</v>
      </c>
      <c r="R9" s="64">
        <f>$D$9</f>
        <v>0.95</v>
      </c>
      <c r="S9" s="39">
        <f t="shared" si="11"/>
        <v>0.99500000000000011</v>
      </c>
      <c r="T9" s="33">
        <f t="shared" si="4"/>
        <v>1.0473684210526317</v>
      </c>
      <c r="V9" s="38">
        <f>$D$9</f>
        <v>0.95</v>
      </c>
      <c r="W9" s="40">
        <v>0.99</v>
      </c>
      <c r="X9" s="65">
        <f t="shared" si="5"/>
        <v>1.0421052631578949</v>
      </c>
      <c r="Y9" s="71">
        <f>$D$9</f>
        <v>0.95</v>
      </c>
      <c r="Z9" s="72">
        <v>0.99</v>
      </c>
      <c r="AA9" s="33">
        <f>Z9/Y9</f>
        <v>1.0421052631578949</v>
      </c>
      <c r="AB9" s="38">
        <f>$D$9</f>
        <v>0.95</v>
      </c>
      <c r="AC9" s="72"/>
      <c r="AD9" s="33">
        <f>AC9/AB9</f>
        <v>0</v>
      </c>
      <c r="AE9" s="38">
        <f>$D$9</f>
        <v>0.95</v>
      </c>
      <c r="AF9" s="39"/>
      <c r="AG9" s="73"/>
      <c r="AH9" s="6"/>
      <c r="AI9" s="38">
        <f>$D$9</f>
        <v>0.95</v>
      </c>
      <c r="AJ9" s="39">
        <f t="shared" si="10"/>
        <v>0.99</v>
      </c>
      <c r="AK9" s="73">
        <f t="shared" si="9"/>
        <v>1.0421052631578949</v>
      </c>
    </row>
    <row r="10" spans="1:37" x14ac:dyDescent="0.3">
      <c r="A10" s="458"/>
      <c r="B10" s="460"/>
      <c r="C10" s="29" t="s">
        <v>17</v>
      </c>
      <c r="D10" s="37">
        <v>0.95</v>
      </c>
      <c r="E10" s="64">
        <f>$D$10</f>
        <v>0.95</v>
      </c>
      <c r="F10" s="39">
        <v>0.38</v>
      </c>
      <c r="G10" s="65">
        <f t="shared" si="0"/>
        <v>0.4</v>
      </c>
      <c r="H10" s="64">
        <f>$D$10</f>
        <v>0.95</v>
      </c>
      <c r="I10" s="66">
        <v>0.75</v>
      </c>
      <c r="J10" s="68">
        <f t="shared" si="1"/>
        <v>0.78947368421052633</v>
      </c>
      <c r="K10" s="64">
        <f>$D$10</f>
        <v>0.95</v>
      </c>
      <c r="L10" s="66">
        <v>0.62</v>
      </c>
      <c r="M10" s="68">
        <f t="shared" si="2"/>
        <v>0.65263157894736845</v>
      </c>
      <c r="N10" s="64">
        <f>$D$10</f>
        <v>0.95</v>
      </c>
      <c r="O10" s="67">
        <v>0.7</v>
      </c>
      <c r="P10" s="65">
        <f t="shared" si="3"/>
        <v>0.73684210526315785</v>
      </c>
      <c r="R10" s="64">
        <f>$D$10</f>
        <v>0.95</v>
      </c>
      <c r="S10" s="39">
        <f t="shared" si="11"/>
        <v>0.61250000000000004</v>
      </c>
      <c r="T10" s="33">
        <f t="shared" si="4"/>
        <v>0.64473684210526327</v>
      </c>
      <c r="V10" s="38">
        <f>$D$10</f>
        <v>0.95</v>
      </c>
      <c r="W10" s="40">
        <v>0.65</v>
      </c>
      <c r="X10" s="65">
        <f t="shared" si="5"/>
        <v>0.68421052631578949</v>
      </c>
      <c r="Y10" s="38">
        <f>$D$10</f>
        <v>0.95</v>
      </c>
      <c r="Z10" s="71">
        <v>0.95</v>
      </c>
      <c r="AA10" s="33">
        <f>Z10/Y10</f>
        <v>1</v>
      </c>
      <c r="AB10" s="38">
        <f>$D$10</f>
        <v>0.95</v>
      </c>
      <c r="AC10" s="71"/>
      <c r="AD10" s="33">
        <f>AC10/AB10</f>
        <v>0</v>
      </c>
      <c r="AE10" s="38">
        <f>$D$10</f>
        <v>0.95</v>
      </c>
      <c r="AF10" s="66"/>
      <c r="AG10" s="73"/>
      <c r="AH10" s="6"/>
      <c r="AI10" s="38">
        <f>$D$10</f>
        <v>0.95</v>
      </c>
      <c r="AJ10" s="39">
        <f t="shared" si="10"/>
        <v>0.8</v>
      </c>
      <c r="AK10" s="73">
        <f t="shared" si="9"/>
        <v>0.8421052631578948</v>
      </c>
    </row>
    <row r="11" spans="1:37" hidden="1" x14ac:dyDescent="0.3">
      <c r="A11" s="458"/>
      <c r="B11" s="460"/>
      <c r="C11" s="29" t="s">
        <v>18</v>
      </c>
      <c r="D11" s="37">
        <v>0.3</v>
      </c>
      <c r="E11" s="38"/>
      <c r="F11" s="39" t="s">
        <v>313</v>
      </c>
      <c r="G11" s="33"/>
      <c r="H11" s="40"/>
      <c r="I11" s="39"/>
      <c r="J11" s="35"/>
      <c r="K11" s="38"/>
      <c r="L11" s="39"/>
      <c r="M11" s="35"/>
      <c r="N11" s="38"/>
      <c r="O11" s="39"/>
      <c r="P11" s="33"/>
      <c r="R11" s="38">
        <v>0.3</v>
      </c>
      <c r="S11" s="39">
        <v>0.23</v>
      </c>
      <c r="T11" s="33">
        <f>S11/R11</f>
        <v>0.76666666666666672</v>
      </c>
      <c r="V11" s="38">
        <v>0.3</v>
      </c>
      <c r="W11" s="39"/>
      <c r="X11" s="33"/>
      <c r="Y11" s="40"/>
      <c r="Z11" s="39"/>
      <c r="AA11" s="35"/>
      <c r="AB11" s="38"/>
      <c r="AC11" s="39"/>
      <c r="AD11" s="35"/>
      <c r="AE11" s="38"/>
      <c r="AF11" s="39"/>
      <c r="AG11" s="33"/>
      <c r="AH11" s="6"/>
      <c r="AI11" s="38"/>
      <c r="AJ11" s="39"/>
      <c r="AK11" s="33"/>
    </row>
    <row r="12" spans="1:37" x14ac:dyDescent="0.3">
      <c r="A12" s="458"/>
      <c r="B12" s="461" t="s">
        <v>19</v>
      </c>
      <c r="C12" s="41" t="s">
        <v>20</v>
      </c>
      <c r="D12" s="42">
        <v>0.7</v>
      </c>
      <c r="E12" s="43">
        <v>0.7</v>
      </c>
      <c r="F12" s="44">
        <v>0.45</v>
      </c>
      <c r="G12" s="45">
        <f>F12/E12</f>
        <v>0.6428571428571429</v>
      </c>
      <c r="H12" s="43">
        <v>0.7</v>
      </c>
      <c r="I12" s="46">
        <v>0.37</v>
      </c>
      <c r="J12" s="45">
        <f>I12/H12</f>
        <v>0.52857142857142858</v>
      </c>
      <c r="K12" s="43">
        <v>0.7</v>
      </c>
      <c r="L12" s="44">
        <v>0.28999999999999998</v>
      </c>
      <c r="M12" s="45">
        <f>L12/K12</f>
        <v>0.41428571428571426</v>
      </c>
      <c r="N12" s="43">
        <v>0.7</v>
      </c>
      <c r="O12" s="44">
        <v>0.25</v>
      </c>
      <c r="P12" s="45">
        <f>O12/N12</f>
        <v>0.35714285714285715</v>
      </c>
      <c r="R12" s="43">
        <v>0.7</v>
      </c>
      <c r="S12" s="47">
        <v>0.49</v>
      </c>
      <c r="T12" s="48">
        <f>S12/R12</f>
        <v>0.70000000000000007</v>
      </c>
      <c r="V12" s="43">
        <v>0.7</v>
      </c>
      <c r="W12" s="49">
        <v>0.49</v>
      </c>
      <c r="X12" s="50">
        <f>W12/V12</f>
        <v>0.70000000000000007</v>
      </c>
      <c r="Y12" s="43">
        <v>0.7</v>
      </c>
      <c r="Z12" s="46">
        <v>0.45</v>
      </c>
      <c r="AA12" s="51">
        <f>Z12/Y12</f>
        <v>0.6428571428571429</v>
      </c>
      <c r="AB12" s="43">
        <v>0.7</v>
      </c>
      <c r="AC12" s="44">
        <v>0.41</v>
      </c>
      <c r="AD12" s="52">
        <f>AC12/AB12</f>
        <v>0.58571428571428574</v>
      </c>
      <c r="AE12" s="43">
        <v>0.7</v>
      </c>
      <c r="AF12" s="53"/>
      <c r="AG12" s="54">
        <f>AF12/AE12</f>
        <v>0</v>
      </c>
      <c r="AH12" s="6"/>
      <c r="AI12" s="43">
        <v>0.7</v>
      </c>
      <c r="AJ12" s="47">
        <f>AVERAGE(W12,Z12,AC12,AF12)</f>
        <v>0.44999999999999996</v>
      </c>
      <c r="AK12" s="55">
        <f>AJ12/AI12</f>
        <v>0.64285714285714279</v>
      </c>
    </row>
    <row r="13" spans="1:37" x14ac:dyDescent="0.3">
      <c r="A13" s="458"/>
      <c r="B13" s="462"/>
      <c r="C13" s="74" t="s">
        <v>21</v>
      </c>
      <c r="D13" s="75"/>
      <c r="E13" s="76"/>
      <c r="F13" s="77" t="s">
        <v>314</v>
      </c>
      <c r="G13" s="78"/>
      <c r="H13" s="76"/>
      <c r="I13" s="79"/>
      <c r="J13" s="78"/>
      <c r="K13" s="76"/>
      <c r="L13" s="77"/>
      <c r="M13" s="78"/>
      <c r="N13" s="76"/>
      <c r="O13" s="77"/>
      <c r="P13" s="78"/>
      <c r="R13" s="76"/>
      <c r="S13" s="80"/>
      <c r="T13" s="81"/>
      <c r="V13" s="76"/>
      <c r="W13" s="82"/>
      <c r="X13" s="83"/>
      <c r="Y13" s="76"/>
      <c r="Z13" s="84"/>
      <c r="AA13" s="85"/>
      <c r="AB13" s="76"/>
      <c r="AC13" s="86"/>
      <c r="AD13" s="85"/>
      <c r="AE13" s="76"/>
      <c r="AF13" s="86"/>
      <c r="AG13" s="87"/>
      <c r="AH13" s="6"/>
      <c r="AI13" s="76"/>
      <c r="AJ13" s="86"/>
      <c r="AK13" s="87"/>
    </row>
    <row r="14" spans="1:37" ht="15" thickBot="1" x14ac:dyDescent="0.35">
      <c r="A14" s="459"/>
      <c r="B14" s="88" t="s">
        <v>23</v>
      </c>
      <c r="C14" s="89" t="s">
        <v>24</v>
      </c>
      <c r="D14" s="90">
        <v>0.7</v>
      </c>
      <c r="E14" s="91"/>
      <c r="F14" s="92" t="s">
        <v>315</v>
      </c>
      <c r="G14" s="93"/>
      <c r="H14" s="92"/>
      <c r="I14" s="94"/>
      <c r="J14" s="95"/>
      <c r="K14" s="91"/>
      <c r="L14" s="92"/>
      <c r="M14" s="95"/>
      <c r="N14" s="91"/>
      <c r="O14" s="92"/>
      <c r="P14" s="93"/>
      <c r="R14" s="96">
        <v>0.7</v>
      </c>
      <c r="S14" s="97">
        <v>0.68289999999999995</v>
      </c>
      <c r="T14" s="98">
        <f>S14/R14</f>
        <v>0.97557142857142853</v>
      </c>
      <c r="V14" s="99">
        <v>0.7</v>
      </c>
      <c r="W14" s="100">
        <v>0.6895</v>
      </c>
      <c r="X14" s="101">
        <f t="shared" ref="X14:X23" si="12">W14/V14</f>
        <v>0.9850000000000001</v>
      </c>
      <c r="Y14" s="99">
        <v>0.7</v>
      </c>
      <c r="Z14" s="100">
        <v>0.6895</v>
      </c>
      <c r="AA14" s="101">
        <f t="shared" ref="AA14:AA24" si="13">Z14/Y14</f>
        <v>0.9850000000000001</v>
      </c>
      <c r="AB14" s="99">
        <v>0.7</v>
      </c>
      <c r="AC14" s="100">
        <v>0.69399999999999995</v>
      </c>
      <c r="AD14" s="101">
        <f t="shared" ref="AD14:AD24" si="14">AC14/AB14</f>
        <v>0.99142857142857144</v>
      </c>
      <c r="AE14" s="99">
        <v>0.7</v>
      </c>
      <c r="AF14" s="92"/>
      <c r="AG14" s="101">
        <f t="shared" ref="AG14:AG24" si="15">AF14/AE14</f>
        <v>0</v>
      </c>
      <c r="AH14" s="6"/>
      <c r="AI14" s="102">
        <v>0.7</v>
      </c>
      <c r="AJ14" s="103">
        <v>0.6895</v>
      </c>
      <c r="AK14" s="104">
        <f>AJ14/AI14</f>
        <v>0.9850000000000001</v>
      </c>
    </row>
    <row r="15" spans="1:37" x14ac:dyDescent="0.3">
      <c r="A15" s="554" t="s">
        <v>316</v>
      </c>
      <c r="B15" s="460" t="s">
        <v>93</v>
      </c>
      <c r="C15" s="105" t="s">
        <v>94</v>
      </c>
      <c r="D15" s="106">
        <v>130000</v>
      </c>
      <c r="E15" s="107">
        <f>ROUNDUP(130000/13,0)</f>
        <v>10000</v>
      </c>
      <c r="F15" s="108">
        <v>9020</v>
      </c>
      <c r="G15" s="109">
        <f t="shared" ref="G15:G24" si="16">F15/E15</f>
        <v>0.90200000000000002</v>
      </c>
      <c r="H15" s="107">
        <f>ROUNDUP(130000/13,0)</f>
        <v>10000</v>
      </c>
      <c r="I15" s="108">
        <v>8098</v>
      </c>
      <c r="J15" s="110">
        <f t="shared" ref="J15:J24" si="17">I15/H15</f>
        <v>0.80979999999999996</v>
      </c>
      <c r="K15" s="107">
        <f>ROUNDUP(130000/13,0)</f>
        <v>10000</v>
      </c>
      <c r="L15" s="108">
        <v>7246</v>
      </c>
      <c r="M15" s="110">
        <f t="shared" ref="M15:M24" si="18">L15/K15</f>
        <v>0.72460000000000002</v>
      </c>
      <c r="N15" s="107">
        <f>ROUNDUP(130000/13,0)</f>
        <v>10000</v>
      </c>
      <c r="O15" s="108">
        <v>11184</v>
      </c>
      <c r="P15" s="109">
        <f t="shared" ref="P15:P24" si="19">O15/N15</f>
        <v>1.1184000000000001</v>
      </c>
      <c r="R15" s="111">
        <f>ROUNDUP(130000/13*4,0)</f>
        <v>40000</v>
      </c>
      <c r="S15" s="36">
        <v>39000</v>
      </c>
      <c r="T15" s="109">
        <f t="shared" ref="T15:T23" si="20">S15/R15</f>
        <v>0.97499999999999998</v>
      </c>
      <c r="V15" s="107">
        <f>ROUNDUP(130000/13,0)</f>
        <v>10000</v>
      </c>
      <c r="W15" s="108">
        <v>9099</v>
      </c>
      <c r="X15" s="109">
        <f t="shared" si="12"/>
        <v>0.90990000000000004</v>
      </c>
      <c r="Y15" s="107">
        <f>ROUNDUP(130000/13,0)</f>
        <v>10000</v>
      </c>
      <c r="Z15" s="108">
        <v>8608</v>
      </c>
      <c r="AA15" s="110">
        <f t="shared" si="13"/>
        <v>0.86080000000000001</v>
      </c>
      <c r="AB15" s="107">
        <f>ROUNDUP(130000/13,0)</f>
        <v>10000</v>
      </c>
      <c r="AC15" s="108">
        <v>8675</v>
      </c>
      <c r="AD15" s="110">
        <f t="shared" si="14"/>
        <v>0.86750000000000005</v>
      </c>
      <c r="AE15" s="107">
        <f>ROUNDUP(130000/13,0)</f>
        <v>10000</v>
      </c>
      <c r="AF15" s="108"/>
      <c r="AG15" s="109">
        <f t="shared" si="15"/>
        <v>0</v>
      </c>
      <c r="AH15" s="6"/>
      <c r="AI15" s="26">
        <f>ROUNDUP(130000/13*4,0)</f>
        <v>40000</v>
      </c>
      <c r="AJ15" s="112">
        <f>SUM(W15,Z15,AC15,AF15)</f>
        <v>26382</v>
      </c>
      <c r="AK15" s="113">
        <f t="shared" ref="AK15:AK24" si="21">AJ15/AI15</f>
        <v>0.65954999999999997</v>
      </c>
    </row>
    <row r="16" spans="1:37" ht="15" thickBot="1" x14ac:dyDescent="0.35">
      <c r="A16" s="555"/>
      <c r="B16" s="460"/>
      <c r="C16" s="114" t="s">
        <v>95</v>
      </c>
      <c r="D16" s="115">
        <v>3.2000000000000001E-2</v>
      </c>
      <c r="E16" s="116">
        <v>3.2000000000000001E-2</v>
      </c>
      <c r="F16" s="117">
        <v>2.9700000000000001E-2</v>
      </c>
      <c r="G16" s="104">
        <f t="shared" si="16"/>
        <v>0.92812499999999998</v>
      </c>
      <c r="H16" s="118">
        <v>3.2000000000000001E-2</v>
      </c>
      <c r="I16" s="119">
        <v>2.9700000000000001E-2</v>
      </c>
      <c r="J16" s="120">
        <f t="shared" si="17"/>
        <v>0.92812499999999998</v>
      </c>
      <c r="K16" s="116">
        <v>3.2000000000000001E-2</v>
      </c>
      <c r="L16" s="117">
        <v>3.0200000000000001E-2</v>
      </c>
      <c r="M16" s="120">
        <f t="shared" si="18"/>
        <v>0.94374999999999998</v>
      </c>
      <c r="N16" s="116">
        <v>3.2000000000000001E-2</v>
      </c>
      <c r="O16" s="117">
        <v>3.0499999999999999E-2</v>
      </c>
      <c r="P16" s="104">
        <f t="shared" si="19"/>
        <v>0.953125</v>
      </c>
      <c r="R16" s="121">
        <v>3.2000000000000001E-2</v>
      </c>
      <c r="S16" s="117">
        <f>AVERAGE(F16,I16,L16,O16)</f>
        <v>3.0025E-2</v>
      </c>
      <c r="T16" s="104">
        <f t="shared" si="20"/>
        <v>0.93828124999999996</v>
      </c>
      <c r="V16" s="116">
        <v>3.2000000000000001E-2</v>
      </c>
      <c r="W16" s="117">
        <v>3.1300000000000001E-2</v>
      </c>
      <c r="X16" s="104">
        <f t="shared" si="12"/>
        <v>0.97812500000000002</v>
      </c>
      <c r="Y16" s="118">
        <v>3.2000000000000001E-2</v>
      </c>
      <c r="Z16" s="119">
        <v>3.3000000000000002E-2</v>
      </c>
      <c r="AA16" s="120">
        <f t="shared" si="13"/>
        <v>1.03125</v>
      </c>
      <c r="AB16" s="116">
        <v>3.2000000000000001E-2</v>
      </c>
      <c r="AC16" s="117">
        <v>3.5099999999999999E-2</v>
      </c>
      <c r="AD16" s="120">
        <f t="shared" si="14"/>
        <v>1.096875</v>
      </c>
      <c r="AE16" s="116">
        <v>3.2000000000000001E-2</v>
      </c>
      <c r="AF16" s="117"/>
      <c r="AG16" s="104">
        <f t="shared" si="15"/>
        <v>0</v>
      </c>
      <c r="AH16" s="6"/>
      <c r="AI16" s="122">
        <v>3.2000000000000001E-2</v>
      </c>
      <c r="AJ16" s="123">
        <f>AVERAGE(W16,Z16,AC16,AF16)</f>
        <v>3.3133333333333327E-2</v>
      </c>
      <c r="AK16" s="98">
        <f t="shared" si="21"/>
        <v>1.0354166666666664</v>
      </c>
    </row>
    <row r="17" spans="1:37" x14ac:dyDescent="0.3">
      <c r="A17" s="556" t="s">
        <v>317</v>
      </c>
      <c r="B17" s="559" t="s">
        <v>100</v>
      </c>
      <c r="C17" s="124" t="s">
        <v>101</v>
      </c>
      <c r="D17" s="125">
        <v>244000</v>
      </c>
      <c r="E17" s="126">
        <f>244000/13</f>
        <v>18769.23076923077</v>
      </c>
      <c r="F17" s="127">
        <v>19200</v>
      </c>
      <c r="G17" s="128">
        <f t="shared" si="16"/>
        <v>1.0229508196721311</v>
      </c>
      <c r="H17" s="127">
        <f>244000/13</f>
        <v>18769.23076923077</v>
      </c>
      <c r="I17" s="129">
        <v>19500</v>
      </c>
      <c r="J17" s="130">
        <f t="shared" si="17"/>
        <v>1.0389344262295082</v>
      </c>
      <c r="K17" s="126">
        <f>244000/13</f>
        <v>18769.23076923077</v>
      </c>
      <c r="L17" s="129">
        <v>13500</v>
      </c>
      <c r="M17" s="130">
        <f t="shared" si="18"/>
        <v>0.71926229508196715</v>
      </c>
      <c r="N17" s="126">
        <f>244000/13</f>
        <v>18769.23076923077</v>
      </c>
      <c r="O17" s="129">
        <v>5000</v>
      </c>
      <c r="P17" s="128">
        <f t="shared" si="19"/>
        <v>0.26639344262295084</v>
      </c>
      <c r="R17" s="126">
        <f>D17/3</f>
        <v>81333.333333333328</v>
      </c>
      <c r="S17" s="127">
        <f>F17+I17+L17+O17</f>
        <v>57200</v>
      </c>
      <c r="T17" s="128">
        <f t="shared" si="20"/>
        <v>0.70327868852459019</v>
      </c>
      <c r="V17" s="126">
        <f>244000/13</f>
        <v>18769.23076923077</v>
      </c>
      <c r="W17" s="127">
        <v>11700</v>
      </c>
      <c r="X17" s="128">
        <f t="shared" si="12"/>
        <v>0.62336065573770494</v>
      </c>
      <c r="Y17" s="127">
        <f>244000/13</f>
        <v>18769.23076923077</v>
      </c>
      <c r="Z17" s="129">
        <v>5900</v>
      </c>
      <c r="AA17" s="130">
        <f t="shared" si="13"/>
        <v>0.31434426229508194</v>
      </c>
      <c r="AB17" s="126">
        <f>244000/13</f>
        <v>18769.23076923077</v>
      </c>
      <c r="AC17" s="129">
        <v>8966</v>
      </c>
      <c r="AD17" s="130">
        <f t="shared" si="14"/>
        <v>0.47769672131147539</v>
      </c>
      <c r="AE17" s="126">
        <f>244000/13</f>
        <v>18769.23076923077</v>
      </c>
      <c r="AF17" s="129"/>
      <c r="AG17" s="128">
        <f t="shared" si="15"/>
        <v>0</v>
      </c>
      <c r="AH17" s="6"/>
      <c r="AI17" s="131">
        <f t="shared" ref="AI17:AJ20" si="22">V17+Y17+AB17+AE17</f>
        <v>75076.923076923078</v>
      </c>
      <c r="AJ17" s="132">
        <f t="shared" si="22"/>
        <v>26566</v>
      </c>
      <c r="AK17" s="133">
        <f>AJ17/AI17</f>
        <v>0.35385040983606558</v>
      </c>
    </row>
    <row r="18" spans="1:37" x14ac:dyDescent="0.3">
      <c r="A18" s="557"/>
      <c r="B18" s="560"/>
      <c r="C18" s="134" t="s">
        <v>102</v>
      </c>
      <c r="D18" s="135">
        <v>60000</v>
      </c>
      <c r="E18" s="136">
        <f>60000/13</f>
        <v>4615.3846153846152</v>
      </c>
      <c r="F18" s="137">
        <v>5568</v>
      </c>
      <c r="G18" s="48">
        <f t="shared" si="16"/>
        <v>1.2064000000000001</v>
      </c>
      <c r="H18" s="137">
        <f>60000/13</f>
        <v>4615.3846153846152</v>
      </c>
      <c r="I18" s="138">
        <v>6045</v>
      </c>
      <c r="J18" s="139">
        <f t="shared" si="17"/>
        <v>1.30975</v>
      </c>
      <c r="K18" s="136">
        <f>60000/13</f>
        <v>4615.3846153846152</v>
      </c>
      <c r="L18" s="138">
        <v>2025</v>
      </c>
      <c r="M18" s="139">
        <f t="shared" si="18"/>
        <v>0.43875000000000003</v>
      </c>
      <c r="N18" s="136">
        <f>60000/13</f>
        <v>4615.3846153846152</v>
      </c>
      <c r="O18" s="138">
        <v>2000</v>
      </c>
      <c r="P18" s="48">
        <f t="shared" si="19"/>
        <v>0.43333333333333335</v>
      </c>
      <c r="R18" s="136">
        <f>D18/3</f>
        <v>20000</v>
      </c>
      <c r="S18" s="137">
        <f>F18+I18+L18+O18</f>
        <v>15638</v>
      </c>
      <c r="T18" s="48">
        <f t="shared" si="20"/>
        <v>0.78190000000000004</v>
      </c>
      <c r="V18" s="136">
        <f>60000/13</f>
        <v>4615.3846153846152</v>
      </c>
      <c r="W18" s="137">
        <v>1872</v>
      </c>
      <c r="X18" s="48">
        <f t="shared" si="12"/>
        <v>0.40560000000000002</v>
      </c>
      <c r="Y18" s="137">
        <f>60000/13</f>
        <v>4615.3846153846152</v>
      </c>
      <c r="Z18" s="138">
        <v>1880</v>
      </c>
      <c r="AA18" s="139">
        <f t="shared" si="13"/>
        <v>0.40733333333333333</v>
      </c>
      <c r="AB18" s="136">
        <f>60000/13</f>
        <v>4615.3846153846152</v>
      </c>
      <c r="AC18" s="138">
        <v>1925</v>
      </c>
      <c r="AD18" s="139">
        <f t="shared" si="14"/>
        <v>0.41708333333333336</v>
      </c>
      <c r="AE18" s="136">
        <f>60000/13</f>
        <v>4615.3846153846152</v>
      </c>
      <c r="AF18" s="138"/>
      <c r="AG18" s="48">
        <f t="shared" si="15"/>
        <v>0</v>
      </c>
      <c r="AH18" s="6"/>
      <c r="AI18" s="136">
        <f t="shared" si="22"/>
        <v>18461.538461538461</v>
      </c>
      <c r="AJ18" s="137">
        <f t="shared" si="22"/>
        <v>5677</v>
      </c>
      <c r="AK18" s="48">
        <f t="shared" si="21"/>
        <v>0.30750416666666669</v>
      </c>
    </row>
    <row r="19" spans="1:37" ht="15" thickBot="1" x14ac:dyDescent="0.35">
      <c r="A19" s="558"/>
      <c r="B19" s="561"/>
      <c r="C19" s="140" t="s">
        <v>103</v>
      </c>
      <c r="D19" s="141">
        <v>15500</v>
      </c>
      <c r="E19" s="142">
        <f>ROUNDUP(15500/13,0)</f>
        <v>1193</v>
      </c>
      <c r="F19" s="143">
        <v>1293</v>
      </c>
      <c r="G19" s="144">
        <f t="shared" si="16"/>
        <v>1.0838222967309303</v>
      </c>
      <c r="H19" s="143">
        <f>ROUNDUP(15500/13,0)</f>
        <v>1193</v>
      </c>
      <c r="I19" s="145">
        <v>1373</v>
      </c>
      <c r="J19" s="146">
        <f t="shared" si="17"/>
        <v>1.1508801341156747</v>
      </c>
      <c r="K19" s="142">
        <f>ROUNDUP(15500/13,0)</f>
        <v>1193</v>
      </c>
      <c r="L19" s="145">
        <v>1171</v>
      </c>
      <c r="M19" s="146">
        <f t="shared" si="18"/>
        <v>0.98155909471919534</v>
      </c>
      <c r="N19" s="142">
        <f>ROUNDUP(15500/13,0)</f>
        <v>1193</v>
      </c>
      <c r="O19" s="145">
        <v>128</v>
      </c>
      <c r="P19" s="144">
        <f t="shared" si="19"/>
        <v>0.10729253981559095</v>
      </c>
      <c r="R19" s="142">
        <f>D19/3</f>
        <v>5166.666666666667</v>
      </c>
      <c r="S19" s="143">
        <f>F19+I19+L19+O19</f>
        <v>3965</v>
      </c>
      <c r="T19" s="144">
        <f t="shared" si="20"/>
        <v>0.7674193548387096</v>
      </c>
      <c r="V19" s="142">
        <f>ROUNDUP(15500/13,0)</f>
        <v>1193</v>
      </c>
      <c r="W19" s="143">
        <v>629</v>
      </c>
      <c r="X19" s="144">
        <f t="shared" si="12"/>
        <v>0.52724224643755235</v>
      </c>
      <c r="Y19" s="143">
        <f>ROUNDUP(15500/13,0)</f>
        <v>1193</v>
      </c>
      <c r="Z19" s="145">
        <v>221</v>
      </c>
      <c r="AA19" s="146">
        <f t="shared" si="13"/>
        <v>0.18524727577535624</v>
      </c>
      <c r="AB19" s="142">
        <f>ROUNDUP(15500/13,0)</f>
        <v>1193</v>
      </c>
      <c r="AC19" s="145">
        <v>145</v>
      </c>
      <c r="AD19" s="146">
        <f t="shared" si="14"/>
        <v>0.12154233025984912</v>
      </c>
      <c r="AE19" s="142">
        <f>ROUNDUP(15500/13,0)</f>
        <v>1193</v>
      </c>
      <c r="AF19" s="145"/>
      <c r="AG19" s="144">
        <f t="shared" si="15"/>
        <v>0</v>
      </c>
      <c r="AH19" s="6"/>
      <c r="AI19" s="136">
        <f t="shared" si="22"/>
        <v>4772</v>
      </c>
      <c r="AJ19" s="137">
        <f t="shared" si="22"/>
        <v>995</v>
      </c>
      <c r="AK19" s="144">
        <f t="shared" si="21"/>
        <v>0.20850796311818945</v>
      </c>
    </row>
    <row r="20" spans="1:37" x14ac:dyDescent="0.3">
      <c r="A20" s="554" t="s">
        <v>318</v>
      </c>
      <c r="B20" s="563" t="s">
        <v>113</v>
      </c>
      <c r="C20" s="147" t="s">
        <v>114</v>
      </c>
      <c r="D20" s="148">
        <v>12000</v>
      </c>
      <c r="E20" s="149">
        <v>2550</v>
      </c>
      <c r="F20" s="150">
        <v>2764</v>
      </c>
      <c r="G20" s="151">
        <f t="shared" si="16"/>
        <v>1.083921568627451</v>
      </c>
      <c r="H20" s="149">
        <v>2550</v>
      </c>
      <c r="I20" s="150">
        <v>2695</v>
      </c>
      <c r="J20" s="151">
        <f t="shared" si="17"/>
        <v>1.0568627450980392</v>
      </c>
      <c r="K20" s="149">
        <v>2550</v>
      </c>
      <c r="L20" s="150">
        <v>2766</v>
      </c>
      <c r="M20" s="152">
        <f t="shared" si="18"/>
        <v>1.0847058823529412</v>
      </c>
      <c r="N20" s="149">
        <v>2550</v>
      </c>
      <c r="O20" s="153">
        <v>2616</v>
      </c>
      <c r="P20" s="151">
        <f t="shared" si="19"/>
        <v>1.0258823529411765</v>
      </c>
      <c r="R20" s="149">
        <f>E20+H20+K20+N20</f>
        <v>10200</v>
      </c>
      <c r="S20" s="150">
        <f>F20+I20+L20+O20</f>
        <v>10841</v>
      </c>
      <c r="T20" s="151">
        <f t="shared" si="20"/>
        <v>1.0628431372549019</v>
      </c>
      <c r="V20" s="149">
        <v>3000</v>
      </c>
      <c r="W20" s="150">
        <v>2386</v>
      </c>
      <c r="X20" s="151">
        <f t="shared" si="12"/>
        <v>0.79533333333333334</v>
      </c>
      <c r="Y20" s="149">
        <v>3000</v>
      </c>
      <c r="Z20" s="150">
        <v>2382</v>
      </c>
      <c r="AA20" s="151">
        <f t="shared" si="13"/>
        <v>0.79400000000000004</v>
      </c>
      <c r="AB20" s="149">
        <v>3000</v>
      </c>
      <c r="AC20" s="150">
        <v>2235</v>
      </c>
      <c r="AD20" s="152">
        <f t="shared" si="14"/>
        <v>0.745</v>
      </c>
      <c r="AE20" s="149">
        <v>3000</v>
      </c>
      <c r="AF20" s="153"/>
      <c r="AG20" s="151">
        <f t="shared" si="15"/>
        <v>0</v>
      </c>
      <c r="AH20" s="6"/>
      <c r="AI20" s="149">
        <f t="shared" si="22"/>
        <v>12000</v>
      </c>
      <c r="AJ20" s="150">
        <f t="shared" si="22"/>
        <v>7003</v>
      </c>
      <c r="AK20" s="151">
        <f t="shared" si="21"/>
        <v>0.58358333333333334</v>
      </c>
    </row>
    <row r="21" spans="1:37" x14ac:dyDescent="0.3">
      <c r="A21" s="562"/>
      <c r="B21" s="563"/>
      <c r="C21" s="154" t="s">
        <v>115</v>
      </c>
      <c r="D21" s="155">
        <v>0.73</v>
      </c>
      <c r="E21" s="156">
        <v>0.63</v>
      </c>
      <c r="F21" s="157">
        <v>0.47299999999999998</v>
      </c>
      <c r="G21" s="158">
        <f t="shared" si="16"/>
        <v>0.75079365079365079</v>
      </c>
      <c r="H21" s="156">
        <v>0.63</v>
      </c>
      <c r="I21" s="157">
        <v>0.53700000000000003</v>
      </c>
      <c r="J21" s="158">
        <f t="shared" si="17"/>
        <v>0.85238095238095246</v>
      </c>
      <c r="K21" s="156">
        <v>0.63</v>
      </c>
      <c r="L21" s="157">
        <v>0.50900000000000001</v>
      </c>
      <c r="M21" s="159">
        <f t="shared" si="18"/>
        <v>0.80793650793650795</v>
      </c>
      <c r="N21" s="156">
        <v>0.63</v>
      </c>
      <c r="O21" s="157">
        <v>0.50700000000000001</v>
      </c>
      <c r="P21" s="158">
        <f t="shared" si="19"/>
        <v>0.80476190476190479</v>
      </c>
      <c r="R21" s="156">
        <v>0.63</v>
      </c>
      <c r="S21" s="157">
        <f>AVERAGE(F21,I21,L21,O21)</f>
        <v>0.50650000000000006</v>
      </c>
      <c r="T21" s="158">
        <f t="shared" si="20"/>
        <v>0.80396825396825411</v>
      </c>
      <c r="V21" s="160">
        <v>0.73</v>
      </c>
      <c r="W21" s="161">
        <v>0.48599999999999999</v>
      </c>
      <c r="X21" s="158">
        <f t="shared" si="12"/>
        <v>0.66575342465753429</v>
      </c>
      <c r="Y21" s="160">
        <v>0.73</v>
      </c>
      <c r="Z21" s="161">
        <v>0.49199999999999999</v>
      </c>
      <c r="AA21" s="158">
        <f t="shared" si="13"/>
        <v>0.67397260273972603</v>
      </c>
      <c r="AB21" s="160">
        <v>0.73</v>
      </c>
      <c r="AC21" s="161">
        <v>0.502</v>
      </c>
      <c r="AD21" s="159">
        <f t="shared" si="14"/>
        <v>0.68767123287671239</v>
      </c>
      <c r="AE21" s="156">
        <v>0.73</v>
      </c>
      <c r="AF21" s="157"/>
      <c r="AG21" s="158">
        <f t="shared" si="15"/>
        <v>0</v>
      </c>
      <c r="AH21" s="6"/>
      <c r="AI21" s="156">
        <v>0.63</v>
      </c>
      <c r="AJ21" s="157">
        <f>AVERAGE(W21,Z21,AC21,AF21)</f>
        <v>0.49333333333333335</v>
      </c>
      <c r="AK21" s="158">
        <f t="shared" si="21"/>
        <v>0.78306878306878314</v>
      </c>
    </row>
    <row r="22" spans="1:37" x14ac:dyDescent="0.3">
      <c r="A22" s="562"/>
      <c r="B22" s="563"/>
      <c r="C22" s="154" t="s">
        <v>116</v>
      </c>
      <c r="D22" s="162">
        <v>8000</v>
      </c>
      <c r="E22" s="163">
        <v>1700</v>
      </c>
      <c r="F22" s="164">
        <v>2073</v>
      </c>
      <c r="G22" s="158">
        <f t="shared" si="16"/>
        <v>1.2194117647058824</v>
      </c>
      <c r="H22" s="163">
        <v>1700</v>
      </c>
      <c r="I22" s="164">
        <v>1980</v>
      </c>
      <c r="J22" s="158">
        <f t="shared" si="17"/>
        <v>1.1647058823529413</v>
      </c>
      <c r="K22" s="163">
        <v>1700</v>
      </c>
      <c r="L22" s="164">
        <v>2135</v>
      </c>
      <c r="M22" s="159">
        <f t="shared" si="18"/>
        <v>1.2558823529411764</v>
      </c>
      <c r="N22" s="163">
        <v>1700</v>
      </c>
      <c r="O22" s="165">
        <v>2271</v>
      </c>
      <c r="P22" s="158">
        <f t="shared" si="19"/>
        <v>1.3358823529411765</v>
      </c>
      <c r="R22" s="163">
        <f>E22+H22+K22+N22</f>
        <v>6800</v>
      </c>
      <c r="S22" s="164">
        <f>F22+I22+L22+O22</f>
        <v>8459</v>
      </c>
      <c r="T22" s="158">
        <f t="shared" si="20"/>
        <v>1.2439705882352941</v>
      </c>
      <c r="V22" s="163">
        <v>2000</v>
      </c>
      <c r="W22" s="164">
        <v>1929</v>
      </c>
      <c r="X22" s="158">
        <f t="shared" si="12"/>
        <v>0.96450000000000002</v>
      </c>
      <c r="Y22" s="163">
        <v>2000</v>
      </c>
      <c r="Z22" s="164">
        <v>1787</v>
      </c>
      <c r="AA22" s="158">
        <f t="shared" si="13"/>
        <v>0.89349999999999996</v>
      </c>
      <c r="AB22" s="163">
        <v>2000</v>
      </c>
      <c r="AC22" s="164">
        <v>1803</v>
      </c>
      <c r="AD22" s="159">
        <f t="shared" si="14"/>
        <v>0.90149999999999997</v>
      </c>
      <c r="AE22" s="163">
        <v>2000</v>
      </c>
      <c r="AF22" s="165"/>
      <c r="AG22" s="158">
        <f t="shared" si="15"/>
        <v>0</v>
      </c>
      <c r="AH22" s="6"/>
      <c r="AI22" s="163">
        <f>V22+Y22+AB22+AE22</f>
        <v>8000</v>
      </c>
      <c r="AJ22" s="164">
        <f>W22+Z22+AC22+AF22</f>
        <v>5519</v>
      </c>
      <c r="AK22" s="158">
        <f t="shared" si="21"/>
        <v>0.68987500000000002</v>
      </c>
    </row>
    <row r="23" spans="1:37" x14ac:dyDescent="0.3">
      <c r="A23" s="562"/>
      <c r="B23" s="563"/>
      <c r="C23" s="154" t="s">
        <v>117</v>
      </c>
      <c r="D23" s="155">
        <v>0.4</v>
      </c>
      <c r="E23" s="156">
        <v>0.28000000000000003</v>
      </c>
      <c r="F23" s="157">
        <v>0.28499999999999998</v>
      </c>
      <c r="G23" s="158">
        <f t="shared" si="16"/>
        <v>1.0178571428571426</v>
      </c>
      <c r="H23" s="156">
        <v>0.28000000000000003</v>
      </c>
      <c r="I23" s="157">
        <v>0.26100000000000001</v>
      </c>
      <c r="J23" s="158">
        <f t="shared" si="17"/>
        <v>0.93214285714285705</v>
      </c>
      <c r="K23" s="156">
        <v>0.28000000000000003</v>
      </c>
      <c r="L23" s="157">
        <v>0.30599999999999999</v>
      </c>
      <c r="M23" s="159">
        <f t="shared" si="18"/>
        <v>1.0928571428571427</v>
      </c>
      <c r="N23" s="156">
        <v>0.28000000000000003</v>
      </c>
      <c r="O23" s="157">
        <v>0.28499999999999998</v>
      </c>
      <c r="P23" s="158">
        <f t="shared" si="19"/>
        <v>1.0178571428571426</v>
      </c>
      <c r="R23" s="156">
        <f>AVERAGE(E23,H23,K23,N23)</f>
        <v>0.28000000000000003</v>
      </c>
      <c r="S23" s="157">
        <f>AVERAGE(F23,I23,L23,O23)</f>
        <v>0.28425</v>
      </c>
      <c r="T23" s="158">
        <f t="shared" si="20"/>
        <v>1.0151785714285713</v>
      </c>
      <c r="V23" s="160">
        <v>0.4</v>
      </c>
      <c r="W23" s="161">
        <v>0.30199999999999999</v>
      </c>
      <c r="X23" s="158">
        <f t="shared" si="12"/>
        <v>0.75499999999999989</v>
      </c>
      <c r="Y23" s="160">
        <v>0.4</v>
      </c>
      <c r="Z23" s="161">
        <v>0.29699999999999999</v>
      </c>
      <c r="AA23" s="158">
        <f t="shared" si="13"/>
        <v>0.74249999999999994</v>
      </c>
      <c r="AB23" s="160">
        <v>0.4</v>
      </c>
      <c r="AC23" s="161">
        <v>0.32</v>
      </c>
      <c r="AD23" s="159">
        <f t="shared" si="14"/>
        <v>0.79999999999999993</v>
      </c>
      <c r="AE23" s="156">
        <v>0.4</v>
      </c>
      <c r="AF23" s="157"/>
      <c r="AG23" s="158">
        <f t="shared" si="15"/>
        <v>0</v>
      </c>
      <c r="AH23" s="6"/>
      <c r="AI23" s="156">
        <f>AVERAGE(V23,Y23,AB23,AE23)</f>
        <v>0.4</v>
      </c>
      <c r="AJ23" s="157">
        <f>AVERAGE(W23,Z23,AC23,AF23)</f>
        <v>0.30633333333333335</v>
      </c>
      <c r="AK23" s="158">
        <f t="shared" si="21"/>
        <v>0.76583333333333337</v>
      </c>
    </row>
    <row r="24" spans="1:37" ht="15" thickBot="1" x14ac:dyDescent="0.35">
      <c r="A24" s="555"/>
      <c r="B24" s="563"/>
      <c r="C24" s="166" t="s">
        <v>118</v>
      </c>
      <c r="D24" s="167">
        <v>65000</v>
      </c>
      <c r="E24" s="168">
        <f>20000/4</f>
        <v>5000</v>
      </c>
      <c r="F24" s="169">
        <v>3754</v>
      </c>
      <c r="G24" s="170">
        <f t="shared" si="16"/>
        <v>0.75080000000000002</v>
      </c>
      <c r="H24" s="171">
        <f>20000/4</f>
        <v>5000</v>
      </c>
      <c r="I24" s="171">
        <v>3325</v>
      </c>
      <c r="J24" s="172">
        <f t="shared" si="17"/>
        <v>0.66500000000000004</v>
      </c>
      <c r="K24" s="168">
        <f>20000/4</f>
        <v>5000</v>
      </c>
      <c r="L24" s="169">
        <v>3355</v>
      </c>
      <c r="M24" s="172">
        <f t="shared" si="18"/>
        <v>0.67100000000000004</v>
      </c>
      <c r="N24" s="168">
        <f>20000/4</f>
        <v>5000</v>
      </c>
      <c r="O24" s="169">
        <v>2959</v>
      </c>
      <c r="P24" s="170">
        <f t="shared" si="19"/>
        <v>0.59179999999999999</v>
      </c>
      <c r="R24" s="168">
        <f>E24+H24+K24+N24</f>
        <v>20000</v>
      </c>
      <c r="S24" s="169">
        <f>F24+I24+L24+O24</f>
        <v>13393</v>
      </c>
      <c r="T24" s="170">
        <f>S24/R24+0.5</f>
        <v>1.1696499999999999</v>
      </c>
      <c r="V24" s="168">
        <f>20000/4</f>
        <v>5000</v>
      </c>
      <c r="W24" s="169">
        <v>2700</v>
      </c>
      <c r="X24" s="170">
        <f>1-W24/V24</f>
        <v>0.45999999999999996</v>
      </c>
      <c r="Y24" s="171">
        <f>20000/4</f>
        <v>5000</v>
      </c>
      <c r="Z24" s="171">
        <v>3040</v>
      </c>
      <c r="AA24" s="172">
        <f t="shared" si="13"/>
        <v>0.60799999999999998</v>
      </c>
      <c r="AB24" s="168">
        <f>20000/4</f>
        <v>5000</v>
      </c>
      <c r="AC24" s="169">
        <v>3015</v>
      </c>
      <c r="AD24" s="172">
        <f t="shared" si="14"/>
        <v>0.60299999999999998</v>
      </c>
      <c r="AE24" s="168">
        <f>20000/4</f>
        <v>5000</v>
      </c>
      <c r="AF24" s="169"/>
      <c r="AG24" s="170">
        <f t="shared" si="15"/>
        <v>0</v>
      </c>
      <c r="AH24" s="6"/>
      <c r="AI24" s="168">
        <f>V24+Y24+AB24+AE24</f>
        <v>20000</v>
      </c>
      <c r="AJ24" s="169">
        <f>W24+Z24+AC24+AF24</f>
        <v>8755</v>
      </c>
      <c r="AK24" s="170">
        <f t="shared" si="21"/>
        <v>0.43774999999999997</v>
      </c>
    </row>
    <row r="25" spans="1:37" x14ac:dyDescent="0.3">
      <c r="A25" s="556" t="s">
        <v>319</v>
      </c>
      <c r="B25" s="565" t="s">
        <v>146</v>
      </c>
      <c r="C25" s="173" t="s">
        <v>147</v>
      </c>
      <c r="D25" s="174">
        <v>2700</v>
      </c>
      <c r="E25" s="175"/>
      <c r="F25" s="176" t="s">
        <v>314</v>
      </c>
      <c r="G25" s="177"/>
      <c r="H25" s="176"/>
      <c r="I25" s="178"/>
      <c r="J25" s="179"/>
      <c r="K25" s="175"/>
      <c r="L25" s="176"/>
      <c r="M25" s="179"/>
      <c r="N25" s="175"/>
      <c r="O25" s="176"/>
      <c r="P25" s="177"/>
      <c r="R25" s="175"/>
      <c r="S25" s="176"/>
      <c r="T25" s="177"/>
      <c r="V25" s="175"/>
      <c r="W25" s="176"/>
      <c r="X25" s="177"/>
      <c r="Y25" s="176"/>
      <c r="Z25" s="178"/>
      <c r="AA25" s="179"/>
      <c r="AB25" s="175"/>
      <c r="AC25" s="176"/>
      <c r="AD25" s="179"/>
      <c r="AE25" s="175"/>
      <c r="AF25" s="176"/>
      <c r="AG25" s="177"/>
      <c r="AH25" s="6"/>
      <c r="AI25" s="175"/>
      <c r="AJ25" s="176"/>
      <c r="AK25" s="177"/>
    </row>
    <row r="26" spans="1:37" x14ac:dyDescent="0.3">
      <c r="A26" s="557"/>
      <c r="B26" s="566"/>
      <c r="C26" s="180" t="s">
        <v>148</v>
      </c>
      <c r="D26" s="181">
        <v>0.73</v>
      </c>
      <c r="E26" s="182">
        <v>0.63</v>
      </c>
      <c r="F26" s="183">
        <v>0.47299999999999998</v>
      </c>
      <c r="G26" s="184">
        <f>F26/E26</f>
        <v>0.75079365079365079</v>
      </c>
      <c r="H26" s="182">
        <v>0.63</v>
      </c>
      <c r="I26" s="185">
        <v>0.53700000000000003</v>
      </c>
      <c r="J26" s="184">
        <f>I26/H26</f>
        <v>0.85238095238095246</v>
      </c>
      <c r="K26" s="182">
        <v>0.63</v>
      </c>
      <c r="L26" s="183">
        <v>0.50900000000000001</v>
      </c>
      <c r="M26" s="186">
        <f>L26/K26</f>
        <v>0.80793650793650795</v>
      </c>
      <c r="N26" s="182">
        <v>0.63</v>
      </c>
      <c r="O26" s="183">
        <v>0.50700000000000001</v>
      </c>
      <c r="P26" s="184">
        <f>O26/N26</f>
        <v>0.80476190476190479</v>
      </c>
      <c r="R26" s="182">
        <v>0.63</v>
      </c>
      <c r="S26" s="183">
        <f>AVERAGE(F26,I26,L26,O26)</f>
        <v>0.50650000000000006</v>
      </c>
      <c r="T26" s="55">
        <f>S26/R26</f>
        <v>0.80396825396825411</v>
      </c>
      <c r="V26" s="182">
        <v>0.73</v>
      </c>
      <c r="W26" s="187">
        <v>0.48599999999999999</v>
      </c>
      <c r="X26" s="184">
        <f>W26/V26</f>
        <v>0.66575342465753429</v>
      </c>
      <c r="Y26" s="182">
        <v>0.73</v>
      </c>
      <c r="Z26" s="188">
        <v>0.49199999999999999</v>
      </c>
      <c r="AA26" s="184">
        <f>Z26/Y26</f>
        <v>0.67397260273972603</v>
      </c>
      <c r="AB26" s="182">
        <v>0.73</v>
      </c>
      <c r="AC26" s="187">
        <v>0.502</v>
      </c>
      <c r="AD26" s="186">
        <f>AC26/AB26</f>
        <v>0.68767123287671239</v>
      </c>
      <c r="AE26" s="182">
        <v>0.73</v>
      </c>
      <c r="AF26" s="183"/>
      <c r="AG26" s="184">
        <f>AF26/AE26</f>
        <v>0</v>
      </c>
      <c r="AH26" s="6"/>
      <c r="AI26" s="182">
        <v>0.63</v>
      </c>
      <c r="AJ26" s="183">
        <f>AVERAGE(W26,Z26,AC26,AF26)</f>
        <v>0.49333333333333335</v>
      </c>
      <c r="AK26" s="55">
        <f>AJ26/AI26</f>
        <v>0.78306878306878314</v>
      </c>
    </row>
    <row r="27" spans="1:37" x14ac:dyDescent="0.3">
      <c r="A27" s="557"/>
      <c r="B27" s="566"/>
      <c r="C27" s="180" t="s">
        <v>149</v>
      </c>
      <c r="D27" s="181">
        <v>0.4</v>
      </c>
      <c r="E27" s="182">
        <v>0.28000000000000003</v>
      </c>
      <c r="F27" s="183">
        <v>0.28499999999999998</v>
      </c>
      <c r="G27" s="184">
        <f>F27/E27</f>
        <v>1.0178571428571426</v>
      </c>
      <c r="H27" s="182">
        <v>0.28000000000000003</v>
      </c>
      <c r="I27" s="185">
        <v>0.26100000000000001</v>
      </c>
      <c r="J27" s="184">
        <f>I27/H27</f>
        <v>0.93214285714285705</v>
      </c>
      <c r="K27" s="182">
        <v>0.28000000000000003</v>
      </c>
      <c r="L27" s="183">
        <v>0.30599999999999999</v>
      </c>
      <c r="M27" s="186">
        <f>L27/K27</f>
        <v>1.0928571428571427</v>
      </c>
      <c r="N27" s="182">
        <v>0.28000000000000003</v>
      </c>
      <c r="O27" s="183">
        <v>0.28499999999999998</v>
      </c>
      <c r="P27" s="184">
        <f>O27/N27</f>
        <v>1.0178571428571426</v>
      </c>
      <c r="R27" s="182">
        <v>0.28000000000000003</v>
      </c>
      <c r="S27" s="183">
        <f>AVERAGE(F27,I27,L27,O27)</f>
        <v>0.28425</v>
      </c>
      <c r="T27" s="55">
        <f>S27/R27</f>
        <v>1.0151785714285713</v>
      </c>
      <c r="V27" s="182">
        <v>0.4</v>
      </c>
      <c r="W27" s="187">
        <v>0.30199999999999999</v>
      </c>
      <c r="X27" s="184">
        <f>W27/V27</f>
        <v>0.75499999999999989</v>
      </c>
      <c r="Y27" s="182">
        <v>0.4</v>
      </c>
      <c r="Z27" s="188">
        <v>0.29699999999999999</v>
      </c>
      <c r="AA27" s="184">
        <f>Z27/Y27</f>
        <v>0.74249999999999994</v>
      </c>
      <c r="AB27" s="182">
        <v>0.4</v>
      </c>
      <c r="AC27" s="187">
        <v>0.32</v>
      </c>
      <c r="AD27" s="186">
        <f>AC27/AB27</f>
        <v>0.79999999999999993</v>
      </c>
      <c r="AE27" s="182">
        <v>0.4</v>
      </c>
      <c r="AF27" s="183"/>
      <c r="AG27" s="184">
        <f>AF27/AE27</f>
        <v>0</v>
      </c>
      <c r="AH27" s="6"/>
      <c r="AI27" s="182">
        <v>0.28000000000000003</v>
      </c>
      <c r="AJ27" s="183">
        <f>AVERAGE(W27,Z27,AC27,AF27)</f>
        <v>0.30633333333333335</v>
      </c>
      <c r="AK27" s="55">
        <f>AJ27/AI27</f>
        <v>1.0940476190476189</v>
      </c>
    </row>
    <row r="28" spans="1:37" ht="15" thickBot="1" x14ac:dyDescent="0.35">
      <c r="A28" s="564"/>
      <c r="B28" s="566"/>
      <c r="C28" s="189" t="s">
        <v>150</v>
      </c>
      <c r="D28" s="190">
        <v>9000</v>
      </c>
      <c r="E28" s="191"/>
      <c r="F28" s="192" t="s">
        <v>314</v>
      </c>
      <c r="G28" s="193"/>
      <c r="H28" s="192"/>
      <c r="I28" s="194"/>
      <c r="J28" s="195"/>
      <c r="K28" s="191"/>
      <c r="L28" s="192"/>
      <c r="M28" s="195"/>
      <c r="N28" s="191"/>
      <c r="O28" s="192"/>
      <c r="P28" s="193"/>
      <c r="R28" s="191"/>
      <c r="S28" s="192"/>
      <c r="T28" s="193"/>
      <c r="V28" s="191"/>
      <c r="W28" s="192"/>
      <c r="X28" s="193"/>
      <c r="Y28" s="192"/>
      <c r="Z28" s="194"/>
      <c r="AA28" s="195"/>
      <c r="AB28" s="191"/>
      <c r="AC28" s="192"/>
      <c r="AD28" s="195"/>
      <c r="AE28" s="191"/>
      <c r="AF28" s="192"/>
      <c r="AG28" s="193"/>
      <c r="AH28" s="6"/>
      <c r="AI28" s="191"/>
      <c r="AJ28" s="192"/>
      <c r="AK28" s="193"/>
    </row>
    <row r="29" spans="1:37" x14ac:dyDescent="0.3">
      <c r="A29" s="567" t="s">
        <v>320</v>
      </c>
      <c r="B29" s="570" t="s">
        <v>172</v>
      </c>
      <c r="C29" s="196" t="s">
        <v>173</v>
      </c>
      <c r="D29" s="197">
        <v>0.99</v>
      </c>
      <c r="E29" s="198">
        <v>0.99</v>
      </c>
      <c r="F29" s="199">
        <v>0.9</v>
      </c>
      <c r="G29" s="200">
        <f>F29/E29</f>
        <v>0.90909090909090917</v>
      </c>
      <c r="H29" s="199">
        <v>0.99</v>
      </c>
      <c r="I29" s="201">
        <v>0.98699999999999999</v>
      </c>
      <c r="J29" s="202">
        <f>I29/H29</f>
        <v>0.99696969696969695</v>
      </c>
      <c r="K29" s="198">
        <v>0.99</v>
      </c>
      <c r="L29" s="199">
        <v>0.98399999999999999</v>
      </c>
      <c r="M29" s="202">
        <f>L29/K29</f>
        <v>0.9939393939393939</v>
      </c>
      <c r="N29" s="198">
        <v>0.99</v>
      </c>
      <c r="O29" s="199">
        <v>0.98599999999999999</v>
      </c>
      <c r="P29" s="200">
        <f>O29/N29</f>
        <v>0.99595959595959593</v>
      </c>
      <c r="R29" s="198">
        <v>0.99</v>
      </c>
      <c r="S29" s="199">
        <f>AVERAGE(F29,I29,L29,O29)</f>
        <v>0.96425000000000005</v>
      </c>
      <c r="T29" s="151">
        <f>S29/R29</f>
        <v>0.97398989898989907</v>
      </c>
      <c r="V29" s="198">
        <v>0.99</v>
      </c>
      <c r="W29" s="199">
        <v>0.96150000000000002</v>
      </c>
      <c r="X29" s="200">
        <f>W29/V29</f>
        <v>0.97121212121212119</v>
      </c>
      <c r="Y29" s="199">
        <v>0.99</v>
      </c>
      <c r="Z29" s="201">
        <v>0.98</v>
      </c>
      <c r="AA29" s="202">
        <f>Z29/Y29</f>
        <v>0.98989898989898994</v>
      </c>
      <c r="AB29" s="198">
        <v>0.99</v>
      </c>
      <c r="AC29" s="199">
        <v>0.98870000000000002</v>
      </c>
      <c r="AD29" s="202">
        <f>AC29/AB29</f>
        <v>0.99868686868686873</v>
      </c>
      <c r="AE29" s="198">
        <v>0.99</v>
      </c>
      <c r="AF29" s="199"/>
      <c r="AG29" s="200">
        <f>AF29/AE29</f>
        <v>0</v>
      </c>
      <c r="AH29" s="6"/>
      <c r="AI29" s="198">
        <v>0.99</v>
      </c>
      <c r="AJ29" s="199">
        <f>AVERAGE(W29,Z29,AC29,AF29)</f>
        <v>0.97673333333333334</v>
      </c>
      <c r="AK29" s="151">
        <f>AJ29/AI29</f>
        <v>0.98659932659932659</v>
      </c>
    </row>
    <row r="30" spans="1:37" x14ac:dyDescent="0.3">
      <c r="A30" s="568"/>
      <c r="B30" s="571"/>
      <c r="C30" s="203" t="s">
        <v>174</v>
      </c>
      <c r="D30" s="204">
        <v>0.99</v>
      </c>
      <c r="E30" s="205"/>
      <c r="F30" s="206" t="s">
        <v>321</v>
      </c>
      <c r="G30" s="207"/>
      <c r="H30" s="206"/>
      <c r="I30" s="206" t="s">
        <v>321</v>
      </c>
      <c r="J30" s="208"/>
      <c r="K30" s="209">
        <v>0.99</v>
      </c>
      <c r="L30" s="210">
        <v>0.73529999999999995</v>
      </c>
      <c r="M30" s="211">
        <f>L30/K30</f>
        <v>0.74272727272727268</v>
      </c>
      <c r="N30" s="209">
        <v>0.99</v>
      </c>
      <c r="O30" s="210">
        <v>0.66920000000000002</v>
      </c>
      <c r="P30" s="212">
        <f>O30/N30</f>
        <v>0.67595959595959598</v>
      </c>
      <c r="R30" s="209">
        <f>AVERAGE(E30,H30,K30,N30)</f>
        <v>0.99</v>
      </c>
      <c r="S30" s="210">
        <f>AVERAGE(F30,I30,L30,O30)</f>
        <v>0.70225000000000004</v>
      </c>
      <c r="T30" s="158">
        <f>S30/R30</f>
        <v>0.70934343434343439</v>
      </c>
      <c r="V30" s="209">
        <v>0.99</v>
      </c>
      <c r="W30" s="210">
        <v>0.69230000000000003</v>
      </c>
      <c r="X30" s="211">
        <f>W30/V30</f>
        <v>0.6992929292929293</v>
      </c>
      <c r="Y30" s="209">
        <v>0.99</v>
      </c>
      <c r="Z30" s="210">
        <v>0.81</v>
      </c>
      <c r="AA30" s="211">
        <f>Z30/Y30</f>
        <v>0.81818181818181823</v>
      </c>
      <c r="AB30" s="209">
        <v>0.99</v>
      </c>
      <c r="AC30" s="210">
        <v>0.86080000000000001</v>
      </c>
      <c r="AD30" s="211">
        <f>AC30/AB30</f>
        <v>0.86949494949494954</v>
      </c>
      <c r="AE30" s="209">
        <v>0.99</v>
      </c>
      <c r="AF30" s="210"/>
      <c r="AG30" s="212">
        <f>AF30/AE30</f>
        <v>0</v>
      </c>
      <c r="AH30" s="6"/>
      <c r="AI30" s="209">
        <f>AVERAGE(V30,Y30,AB30,AE30)</f>
        <v>0.99</v>
      </c>
      <c r="AJ30" s="210">
        <f>AVERAGE(W30,Z30,AC30,AF30)</f>
        <v>0.78770000000000007</v>
      </c>
      <c r="AK30" s="158">
        <f>AJ30/AI30</f>
        <v>0.79565656565656573</v>
      </c>
    </row>
    <row r="31" spans="1:37" ht="15" thickBot="1" x14ac:dyDescent="0.35">
      <c r="A31" s="569"/>
      <c r="B31" s="572"/>
      <c r="C31" s="213" t="s">
        <v>175</v>
      </c>
      <c r="D31" s="214">
        <v>5</v>
      </c>
      <c r="E31" s="215">
        <v>5</v>
      </c>
      <c r="F31" s="216">
        <v>7</v>
      </c>
      <c r="G31" s="170">
        <f>200% - F31/E31</f>
        <v>0.60000000000000009</v>
      </c>
      <c r="H31" s="216">
        <v>5</v>
      </c>
      <c r="I31" s="217">
        <v>6.8</v>
      </c>
      <c r="J31" s="172">
        <f>200% - I31/H31</f>
        <v>0.64000000000000012</v>
      </c>
      <c r="K31" s="215">
        <v>5</v>
      </c>
      <c r="L31" s="216"/>
      <c r="M31" s="218"/>
      <c r="N31" s="215">
        <v>5</v>
      </c>
      <c r="O31" s="216"/>
      <c r="P31" s="219"/>
      <c r="R31" s="215">
        <v>5</v>
      </c>
      <c r="S31" s="216"/>
      <c r="T31" s="219"/>
      <c r="V31" s="215"/>
      <c r="W31" s="216"/>
      <c r="X31" s="170"/>
      <c r="Y31" s="216"/>
      <c r="Z31" s="217"/>
      <c r="AA31" s="172"/>
      <c r="AB31" s="215"/>
      <c r="AC31" s="216"/>
      <c r="AD31" s="218"/>
      <c r="AE31" s="215"/>
      <c r="AF31" s="216"/>
      <c r="AG31" s="219"/>
      <c r="AH31" s="6"/>
      <c r="AI31" s="215">
        <v>5</v>
      </c>
      <c r="AJ31" s="216"/>
      <c r="AK31" s="219"/>
    </row>
    <row r="32" spans="1:37" x14ac:dyDescent="0.3">
      <c r="A32" s="573" t="s">
        <v>272</v>
      </c>
      <c r="B32" s="575" t="s">
        <v>273</v>
      </c>
      <c r="C32" s="220" t="s">
        <v>274</v>
      </c>
      <c r="D32" s="221">
        <v>0.995</v>
      </c>
      <c r="E32" s="222">
        <v>0.995</v>
      </c>
      <c r="F32" s="223">
        <v>0.99990000000000001</v>
      </c>
      <c r="G32" s="224">
        <f>F32/E32</f>
        <v>1.004924623115578</v>
      </c>
      <c r="H32" s="223">
        <v>0.995</v>
      </c>
      <c r="I32" s="225">
        <v>0.99980000000000002</v>
      </c>
      <c r="J32" s="226">
        <f>I32/H32</f>
        <v>1.0048241206030151</v>
      </c>
      <c r="K32" s="222">
        <v>0.995</v>
      </c>
      <c r="L32" s="223">
        <v>0.99980000000000002</v>
      </c>
      <c r="M32" s="226">
        <f>L32/K32</f>
        <v>1.0048241206030151</v>
      </c>
      <c r="N32" s="222">
        <v>0.995</v>
      </c>
      <c r="O32" s="223">
        <v>0.99980000000000002</v>
      </c>
      <c r="P32" s="224">
        <f>O32/N32</f>
        <v>1.0048241206030151</v>
      </c>
      <c r="R32" s="222">
        <v>0.995</v>
      </c>
      <c r="S32" s="223">
        <f>AVERAGE(F32,I32,L32,O32)</f>
        <v>0.99982500000000007</v>
      </c>
      <c r="T32" s="128">
        <f>S32/R32</f>
        <v>1.0048492462311558</v>
      </c>
      <c r="V32" s="222">
        <v>0.995</v>
      </c>
      <c r="W32" s="223">
        <v>0.99860000000000004</v>
      </c>
      <c r="X32" s="224">
        <f>W32/V32</f>
        <v>1.0036180904522614</v>
      </c>
      <c r="Y32" s="223">
        <v>0.995</v>
      </c>
      <c r="Z32" s="225">
        <v>0.998</v>
      </c>
      <c r="AA32" s="226">
        <f>Z32/Y32</f>
        <v>1.0030150753768845</v>
      </c>
      <c r="AB32" s="222">
        <v>0.995</v>
      </c>
      <c r="AC32" s="225">
        <v>0.998</v>
      </c>
      <c r="AD32" s="226">
        <f>AC32/AB32</f>
        <v>1.0030150753768845</v>
      </c>
      <c r="AE32" s="222">
        <v>0.995</v>
      </c>
      <c r="AF32" s="223"/>
      <c r="AG32" s="224">
        <f>AF32/AE32</f>
        <v>0</v>
      </c>
      <c r="AH32" s="6"/>
      <c r="AI32" s="222">
        <v>0.995</v>
      </c>
      <c r="AJ32" s="223">
        <f>AVERAGE(W32,Z32,AC32,AF32)</f>
        <v>0.99820000000000009</v>
      </c>
      <c r="AK32" s="128">
        <f>AJ32/AI32</f>
        <v>1.00321608040201</v>
      </c>
    </row>
    <row r="33" spans="1:37" x14ac:dyDescent="0.3">
      <c r="A33" s="573"/>
      <c r="B33" s="576"/>
      <c r="C33" s="227" t="s">
        <v>322</v>
      </c>
      <c r="D33" s="228"/>
      <c r="E33" s="61"/>
      <c r="F33" s="53"/>
      <c r="G33" s="54"/>
      <c r="H33" s="53"/>
      <c r="I33" s="229"/>
      <c r="J33" s="230"/>
      <c r="K33" s="61"/>
      <c r="L33" s="53"/>
      <c r="M33" s="230"/>
      <c r="N33" s="61"/>
      <c r="O33" s="53"/>
      <c r="P33" s="54"/>
      <c r="R33" s="61"/>
      <c r="S33" s="53"/>
      <c r="T33" s="54"/>
      <c r="V33" s="61"/>
      <c r="W33" s="53"/>
      <c r="X33" s="54"/>
      <c r="Y33" s="53"/>
      <c r="Z33" s="229"/>
      <c r="AA33" s="230"/>
      <c r="AB33" s="61"/>
      <c r="AC33" s="53"/>
      <c r="AD33" s="230"/>
      <c r="AE33" s="61"/>
      <c r="AF33" s="53"/>
      <c r="AG33" s="54"/>
      <c r="AH33" s="6"/>
      <c r="AI33" s="61"/>
      <c r="AJ33" s="53"/>
      <c r="AK33" s="54"/>
    </row>
    <row r="34" spans="1:37" ht="15" thickBot="1" x14ac:dyDescent="0.35">
      <c r="A34" s="574"/>
      <c r="B34" s="231" t="s">
        <v>275</v>
      </c>
      <c r="C34" s="232" t="s">
        <v>323</v>
      </c>
      <c r="D34" s="233">
        <v>0.995</v>
      </c>
      <c r="E34" s="234">
        <v>0.995</v>
      </c>
      <c r="F34" s="235">
        <v>0.99990000000000001</v>
      </c>
      <c r="G34" s="236">
        <f>F34/E34</f>
        <v>1.004924623115578</v>
      </c>
      <c r="H34" s="235">
        <v>0.995</v>
      </c>
      <c r="I34" s="237">
        <v>0.99980000000000002</v>
      </c>
      <c r="J34" s="238">
        <f>I34/H34</f>
        <v>1.0048241206030151</v>
      </c>
      <c r="K34" s="234">
        <v>0.995</v>
      </c>
      <c r="L34" s="235">
        <v>0.99980000000000002</v>
      </c>
      <c r="M34" s="238">
        <f>L34/K34</f>
        <v>1.0048241206030151</v>
      </c>
      <c r="N34" s="234">
        <v>0.995</v>
      </c>
      <c r="O34" s="235">
        <v>0.99980000000000002</v>
      </c>
      <c r="P34" s="236">
        <f>O34/N34</f>
        <v>1.0048241206030151</v>
      </c>
      <c r="R34" s="234">
        <v>0.995</v>
      </c>
      <c r="S34" s="235">
        <f>AVERAGE(F34,I34,L34,O34)</f>
        <v>0.99982500000000007</v>
      </c>
      <c r="T34" s="98">
        <f>S34/R34</f>
        <v>1.0048492462311558</v>
      </c>
      <c r="V34" s="234">
        <v>0.995</v>
      </c>
      <c r="W34" s="235">
        <v>0.99860000000000004</v>
      </c>
      <c r="X34" s="236">
        <f>W34/V34</f>
        <v>1.0036180904522614</v>
      </c>
      <c r="Y34" s="235">
        <v>0.995</v>
      </c>
      <c r="Z34" s="237">
        <v>0.998</v>
      </c>
      <c r="AA34" s="238">
        <f>Z34/Y34</f>
        <v>1.0030150753768845</v>
      </c>
      <c r="AB34" s="234">
        <v>0.995</v>
      </c>
      <c r="AC34" s="235">
        <v>0.998</v>
      </c>
      <c r="AD34" s="238">
        <f>AC34/AB34</f>
        <v>1.0030150753768845</v>
      </c>
      <c r="AE34" s="234">
        <v>0.995</v>
      </c>
      <c r="AF34" s="235"/>
      <c r="AG34" s="236">
        <f>AF34/AE34</f>
        <v>0</v>
      </c>
      <c r="AH34" s="6"/>
      <c r="AI34" s="234">
        <v>0.995</v>
      </c>
      <c r="AJ34" s="235">
        <f>AVERAGE(W34,Z34,AC34,AF34)</f>
        <v>0.99820000000000009</v>
      </c>
      <c r="AK34" s="98">
        <f>AJ34/AI34</f>
        <v>1.00321608040201</v>
      </c>
    </row>
    <row r="35" spans="1:37" x14ac:dyDescent="0.3">
      <c r="A35" s="6"/>
      <c r="B35" s="239"/>
      <c r="C35" s="6"/>
      <c r="D35" s="240"/>
      <c r="E35" s="6"/>
      <c r="F35" s="6"/>
      <c r="G35" s="6"/>
      <c r="H35" s="6"/>
      <c r="I35" s="6"/>
      <c r="J35" s="7"/>
      <c r="K35" s="6"/>
      <c r="L35" s="6"/>
      <c r="M35" s="6"/>
      <c r="N35" s="6"/>
      <c r="O35" s="6"/>
      <c r="P35" s="6"/>
      <c r="R35" s="7"/>
      <c r="S35" s="7"/>
      <c r="T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6"/>
      <c r="AI35" s="7"/>
      <c r="AJ35" s="7"/>
      <c r="AK35" s="7"/>
    </row>
    <row r="36" spans="1:37" x14ac:dyDescent="0.3">
      <c r="A36" s="6"/>
      <c r="B36" s="239"/>
      <c r="C36" s="6"/>
      <c r="D36" s="240"/>
      <c r="E36" s="6"/>
      <c r="F36" s="6"/>
      <c r="G36" s="6"/>
      <c r="H36" s="6"/>
      <c r="I36" s="6"/>
      <c r="J36" s="7"/>
      <c r="K36" s="6"/>
      <c r="L36" s="6"/>
      <c r="M36" s="6"/>
      <c r="N36" s="6"/>
      <c r="O36" s="6"/>
      <c r="P36" s="6"/>
      <c r="R36" s="7"/>
      <c r="S36" s="7"/>
      <c r="T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6"/>
      <c r="AI36" s="7"/>
      <c r="AJ36" s="7"/>
      <c r="AK36" s="7"/>
    </row>
    <row r="37" spans="1:37" x14ac:dyDescent="0.3">
      <c r="A37" s="6"/>
      <c r="B37" s="239"/>
      <c r="C37" s="6"/>
      <c r="D37" s="240"/>
      <c r="E37" s="6"/>
      <c r="F37" s="6"/>
      <c r="G37" s="6"/>
      <c r="H37" s="6"/>
      <c r="I37" s="6"/>
      <c r="J37" s="7"/>
      <c r="K37" s="6"/>
      <c r="L37" s="6"/>
      <c r="M37" s="6"/>
      <c r="N37" s="6"/>
      <c r="O37" s="6"/>
      <c r="P37" s="6"/>
      <c r="R37" s="7"/>
      <c r="S37" s="7"/>
      <c r="T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6"/>
      <c r="AI37" s="7"/>
      <c r="AJ37" s="7"/>
      <c r="AK37" s="7"/>
    </row>
    <row r="38" spans="1:37" x14ac:dyDescent="0.3">
      <c r="A38" s="6"/>
      <c r="B38" s="239"/>
      <c r="C38" s="6"/>
      <c r="D38" s="240"/>
      <c r="E38" s="6"/>
      <c r="F38" s="6"/>
      <c r="G38" s="6"/>
      <c r="H38" s="6"/>
      <c r="I38" s="6"/>
      <c r="J38" s="7"/>
      <c r="K38" s="6"/>
      <c r="L38" s="6"/>
      <c r="M38" s="6"/>
      <c r="N38" s="6"/>
      <c r="O38" s="6"/>
      <c r="P38" s="6"/>
      <c r="R38" s="7"/>
      <c r="S38" s="7"/>
      <c r="T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6"/>
      <c r="AI38" s="7"/>
      <c r="AJ38" s="7"/>
      <c r="AK38" s="7"/>
    </row>
    <row r="39" spans="1:37" x14ac:dyDescent="0.3">
      <c r="A39" s="6"/>
      <c r="B39" s="239"/>
      <c r="C39" s="6"/>
      <c r="D39" s="240"/>
      <c r="E39" s="6"/>
      <c r="F39" s="6"/>
      <c r="G39" s="6"/>
      <c r="H39" s="6"/>
      <c r="I39" s="6"/>
      <c r="J39" s="7"/>
      <c r="K39" s="6"/>
      <c r="L39" s="6"/>
      <c r="M39" s="6"/>
      <c r="N39" s="6"/>
      <c r="O39" s="6"/>
      <c r="P39" s="6"/>
      <c r="R39" s="7"/>
      <c r="S39" s="7"/>
      <c r="T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6"/>
      <c r="AI39" s="7"/>
      <c r="AJ39" s="7"/>
      <c r="AK39" s="7"/>
    </row>
    <row r="40" spans="1:37" x14ac:dyDescent="0.3">
      <c r="A40" s="6"/>
      <c r="B40" s="239"/>
      <c r="C40" s="6"/>
      <c r="D40" s="240"/>
      <c r="E40" s="6"/>
      <c r="F40" s="6"/>
      <c r="G40" s="6"/>
      <c r="H40" s="6"/>
      <c r="I40" s="6"/>
      <c r="J40" s="7"/>
      <c r="K40" s="6"/>
      <c r="L40" s="6"/>
      <c r="M40" s="6"/>
      <c r="N40" s="6"/>
      <c r="O40" s="6"/>
      <c r="P40" s="6"/>
      <c r="R40" s="7"/>
      <c r="S40" s="7"/>
      <c r="T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6"/>
      <c r="AI40" s="7"/>
      <c r="AJ40" s="7"/>
      <c r="AK40" s="7"/>
    </row>
    <row r="41" spans="1:37" x14ac:dyDescent="0.3">
      <c r="A41" s="6"/>
      <c r="B41" s="239"/>
      <c r="C41" s="6"/>
      <c r="D41" s="240"/>
      <c r="E41" s="6"/>
      <c r="F41" s="6"/>
      <c r="G41" s="6"/>
      <c r="H41" s="6"/>
      <c r="I41" s="6"/>
      <c r="J41" s="7"/>
      <c r="K41" s="6"/>
      <c r="L41" s="6"/>
      <c r="M41" s="6"/>
      <c r="N41" s="6"/>
      <c r="O41" s="6"/>
      <c r="P41" s="6"/>
      <c r="R41" s="7"/>
      <c r="S41" s="7"/>
      <c r="T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6"/>
      <c r="AI41" s="7"/>
      <c r="AJ41" s="7"/>
      <c r="AK41" s="7"/>
    </row>
    <row r="42" spans="1:37" x14ac:dyDescent="0.3">
      <c r="A42" s="6"/>
      <c r="B42" s="239"/>
      <c r="C42" s="6"/>
      <c r="D42" s="240"/>
      <c r="E42" s="6"/>
      <c r="F42" s="6"/>
      <c r="G42" s="6"/>
      <c r="H42" s="6"/>
      <c r="I42" s="6"/>
      <c r="J42" s="7"/>
      <c r="K42" s="6"/>
      <c r="L42" s="6"/>
      <c r="M42" s="6"/>
      <c r="N42" s="6"/>
      <c r="O42" s="6"/>
      <c r="P42" s="6"/>
      <c r="R42" s="7"/>
      <c r="S42" s="7"/>
      <c r="T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6"/>
      <c r="AI42" s="7"/>
      <c r="AJ42" s="7"/>
      <c r="AK42" s="7"/>
    </row>
    <row r="43" spans="1:37" x14ac:dyDescent="0.3">
      <c r="A43" s="6"/>
      <c r="B43" s="239"/>
      <c r="C43" s="6"/>
      <c r="D43" s="240"/>
      <c r="E43" s="6"/>
      <c r="F43" s="6"/>
      <c r="G43" s="6"/>
      <c r="H43" s="6"/>
      <c r="I43" s="6"/>
      <c r="J43" s="7"/>
      <c r="K43" s="6"/>
      <c r="L43" s="6"/>
      <c r="M43" s="6"/>
      <c r="N43" s="6"/>
      <c r="O43" s="6"/>
      <c r="P43" s="6"/>
      <c r="R43" s="7"/>
      <c r="S43" s="7"/>
      <c r="T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6"/>
      <c r="AI43" s="7"/>
      <c r="AJ43" s="7"/>
      <c r="AK43" s="7"/>
    </row>
    <row r="44" spans="1:37" x14ac:dyDescent="0.3">
      <c r="A44" s="6"/>
      <c r="B44" s="239"/>
      <c r="C44" s="6"/>
      <c r="D44" s="240"/>
      <c r="E44" s="6"/>
      <c r="F44" s="6"/>
      <c r="G44" s="6"/>
      <c r="H44" s="6"/>
      <c r="I44" s="6"/>
      <c r="J44" s="7"/>
      <c r="K44" s="6"/>
      <c r="L44" s="6"/>
      <c r="M44" s="6"/>
      <c r="N44" s="6"/>
      <c r="O44" s="6"/>
      <c r="P44" s="6"/>
      <c r="R44" s="7"/>
      <c r="S44" s="7"/>
      <c r="T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6"/>
      <c r="AI44" s="7"/>
      <c r="AJ44" s="7"/>
      <c r="AK44" s="7"/>
    </row>
    <row r="45" spans="1:37" x14ac:dyDescent="0.3">
      <c r="A45" s="6"/>
      <c r="B45" s="239"/>
      <c r="C45" s="6"/>
      <c r="D45" s="240"/>
      <c r="E45" s="6"/>
      <c r="F45" s="6"/>
      <c r="G45" s="6"/>
      <c r="H45" s="6"/>
      <c r="I45" s="6"/>
      <c r="J45" s="7"/>
      <c r="K45" s="6"/>
      <c r="L45" s="6"/>
      <c r="M45" s="6"/>
      <c r="N45" s="6"/>
      <c r="O45" s="6"/>
      <c r="P45" s="6"/>
      <c r="R45" s="7"/>
      <c r="S45" s="7"/>
      <c r="T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6"/>
      <c r="AI45" s="7"/>
      <c r="AJ45" s="7"/>
      <c r="AK45" s="7"/>
    </row>
    <row r="46" spans="1:37" x14ac:dyDescent="0.3">
      <c r="A46" s="6"/>
      <c r="B46" s="239"/>
      <c r="C46" s="6"/>
      <c r="D46" s="240"/>
      <c r="E46" s="6"/>
      <c r="F46" s="6"/>
      <c r="G46" s="6"/>
      <c r="H46" s="6"/>
      <c r="I46" s="6"/>
      <c r="J46" s="7"/>
      <c r="K46" s="6"/>
      <c r="L46" s="6"/>
      <c r="M46" s="6"/>
      <c r="N46" s="6"/>
      <c r="O46" s="6"/>
      <c r="P46" s="6"/>
      <c r="R46" s="7"/>
      <c r="S46" s="7"/>
      <c r="T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6"/>
      <c r="AI46" s="7"/>
      <c r="AJ46" s="7"/>
      <c r="AK46" s="7"/>
    </row>
    <row r="47" spans="1:37" x14ac:dyDescent="0.3">
      <c r="A47" s="6"/>
      <c r="B47" s="239"/>
      <c r="C47" s="6"/>
      <c r="D47" s="240"/>
      <c r="E47" s="6"/>
      <c r="F47" s="6"/>
      <c r="G47" s="6"/>
      <c r="H47" s="6"/>
      <c r="I47" s="6"/>
      <c r="J47" s="7"/>
      <c r="K47" s="6"/>
      <c r="L47" s="6"/>
      <c r="M47" s="6"/>
      <c r="N47" s="6"/>
      <c r="O47" s="6"/>
      <c r="P47" s="6"/>
      <c r="R47" s="7"/>
      <c r="S47" s="7"/>
      <c r="T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6"/>
      <c r="AI47" s="7"/>
      <c r="AJ47" s="7"/>
      <c r="AK47" s="7"/>
    </row>
    <row r="48" spans="1:37" x14ac:dyDescent="0.3">
      <c r="A48" s="6"/>
      <c r="B48" s="239"/>
      <c r="C48" s="6"/>
      <c r="D48" s="240"/>
      <c r="E48" s="6"/>
      <c r="F48" s="6"/>
      <c r="G48" s="6"/>
      <c r="H48" s="6"/>
      <c r="I48" s="6"/>
      <c r="J48" s="7"/>
      <c r="K48" s="6"/>
      <c r="L48" s="6"/>
      <c r="M48" s="6"/>
      <c r="N48" s="6"/>
      <c r="O48" s="6"/>
      <c r="P48" s="6"/>
      <c r="R48" s="7"/>
      <c r="S48" s="7"/>
      <c r="T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6"/>
      <c r="AI48" s="7"/>
      <c r="AJ48" s="7"/>
      <c r="AK48" s="7"/>
    </row>
    <row r="49" spans="1:37" x14ac:dyDescent="0.3">
      <c r="A49" s="6"/>
      <c r="B49" s="239"/>
      <c r="C49" s="6"/>
      <c r="D49" s="240"/>
      <c r="E49" s="6"/>
      <c r="F49" s="6"/>
      <c r="G49" s="6"/>
      <c r="H49" s="6"/>
      <c r="I49" s="6"/>
      <c r="J49" s="7"/>
      <c r="K49" s="6"/>
      <c r="L49" s="6"/>
      <c r="M49" s="6"/>
      <c r="N49" s="6"/>
      <c r="O49" s="6"/>
      <c r="P49" s="6"/>
      <c r="R49" s="7"/>
      <c r="S49" s="7"/>
      <c r="T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6"/>
      <c r="AI49" s="7"/>
      <c r="AJ49" s="7"/>
      <c r="AK49" s="7"/>
    </row>
    <row r="50" spans="1:37" x14ac:dyDescent="0.3">
      <c r="A50" s="6"/>
      <c r="B50" s="239"/>
      <c r="C50" s="6"/>
      <c r="D50" s="240"/>
      <c r="E50" s="6"/>
      <c r="F50" s="6"/>
      <c r="G50" s="6"/>
      <c r="H50" s="6"/>
      <c r="I50" s="6"/>
      <c r="J50" s="7"/>
      <c r="K50" s="6"/>
      <c r="L50" s="6"/>
      <c r="M50" s="6"/>
      <c r="N50" s="6"/>
      <c r="O50" s="6"/>
      <c r="P50" s="6"/>
      <c r="R50" s="7"/>
      <c r="S50" s="7"/>
      <c r="T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6"/>
      <c r="AI50" s="7"/>
      <c r="AJ50" s="7"/>
      <c r="AK50" s="7"/>
    </row>
    <row r="51" spans="1:37" x14ac:dyDescent="0.3">
      <c r="A51" s="6"/>
      <c r="B51" s="239"/>
      <c r="C51" s="6"/>
      <c r="D51" s="240"/>
      <c r="E51" s="6"/>
      <c r="F51" s="6"/>
      <c r="G51" s="6"/>
      <c r="H51" s="6"/>
      <c r="I51" s="6"/>
      <c r="J51" s="7"/>
      <c r="K51" s="6"/>
      <c r="L51" s="6"/>
      <c r="M51" s="6"/>
      <c r="N51" s="6"/>
      <c r="O51" s="6"/>
      <c r="P51" s="6"/>
      <c r="R51" s="7"/>
      <c r="S51" s="7"/>
      <c r="T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6"/>
      <c r="AI51" s="7"/>
      <c r="AJ51" s="7"/>
      <c r="AK51" s="7"/>
    </row>
    <row r="52" spans="1:37" x14ac:dyDescent="0.3">
      <c r="A52" s="6"/>
      <c r="B52" s="239"/>
      <c r="C52" s="6"/>
      <c r="D52" s="240"/>
      <c r="E52" s="6"/>
      <c r="F52" s="6"/>
      <c r="G52" s="6"/>
      <c r="H52" s="6"/>
      <c r="I52" s="6"/>
      <c r="J52" s="7"/>
      <c r="K52" s="6"/>
      <c r="L52" s="6"/>
      <c r="M52" s="6"/>
      <c r="N52" s="6"/>
      <c r="O52" s="6"/>
      <c r="P52" s="6"/>
      <c r="R52" s="7"/>
      <c r="S52" s="7"/>
      <c r="T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6"/>
      <c r="AI52" s="7"/>
      <c r="AJ52" s="7"/>
      <c r="AK52" s="7"/>
    </row>
    <row r="53" spans="1:37" x14ac:dyDescent="0.3">
      <c r="A53" s="6"/>
      <c r="B53" s="239"/>
      <c r="C53" s="6"/>
      <c r="D53" s="240"/>
      <c r="E53" s="6"/>
      <c r="F53" s="6"/>
      <c r="G53" s="6"/>
      <c r="H53" s="6"/>
      <c r="I53" s="6"/>
      <c r="J53" s="7"/>
      <c r="K53" s="6"/>
      <c r="L53" s="6"/>
      <c r="M53" s="6"/>
      <c r="N53" s="6"/>
      <c r="O53" s="6"/>
      <c r="P53" s="6"/>
      <c r="R53" s="7"/>
      <c r="S53" s="7"/>
      <c r="T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6"/>
      <c r="AI53" s="7"/>
      <c r="AJ53" s="7"/>
      <c r="AK53" s="7"/>
    </row>
    <row r="54" spans="1:37" x14ac:dyDescent="0.3">
      <c r="A54" s="6"/>
      <c r="B54" s="239"/>
      <c r="C54" s="6"/>
      <c r="D54" s="240"/>
      <c r="E54" s="6"/>
      <c r="F54" s="6"/>
      <c r="G54" s="6"/>
      <c r="H54" s="6"/>
      <c r="I54" s="6"/>
      <c r="J54" s="7"/>
      <c r="K54" s="6"/>
      <c r="L54" s="6"/>
      <c r="M54" s="6"/>
      <c r="N54" s="6"/>
      <c r="O54" s="6"/>
      <c r="P54" s="6"/>
      <c r="R54" s="7"/>
      <c r="S54" s="7"/>
      <c r="T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6"/>
      <c r="AI54" s="7"/>
      <c r="AJ54" s="7"/>
      <c r="AK54" s="7"/>
    </row>
    <row r="55" spans="1:37" x14ac:dyDescent="0.3">
      <c r="A55" s="6"/>
      <c r="B55" s="239"/>
      <c r="C55" s="6"/>
      <c r="D55" s="240"/>
      <c r="E55" s="6"/>
      <c r="F55" s="6"/>
      <c r="G55" s="6"/>
      <c r="H55" s="6"/>
      <c r="I55" s="6"/>
      <c r="J55" s="7"/>
      <c r="K55" s="6"/>
      <c r="L55" s="6"/>
      <c r="M55" s="6"/>
      <c r="N55" s="6"/>
      <c r="O55" s="6"/>
      <c r="P55" s="6"/>
      <c r="R55" s="7"/>
      <c r="S55" s="7"/>
      <c r="T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6"/>
      <c r="AI55" s="7"/>
      <c r="AJ55" s="7"/>
      <c r="AK55" s="7"/>
    </row>
    <row r="56" spans="1:37" x14ac:dyDescent="0.3">
      <c r="A56" s="6"/>
      <c r="B56" s="239"/>
      <c r="C56" s="6"/>
      <c r="D56" s="240"/>
      <c r="E56" s="6"/>
      <c r="F56" s="6"/>
      <c r="G56" s="6"/>
      <c r="H56" s="6"/>
      <c r="I56" s="6"/>
      <c r="J56" s="7"/>
      <c r="K56" s="6"/>
      <c r="L56" s="6"/>
      <c r="M56" s="6"/>
      <c r="N56" s="6"/>
      <c r="O56" s="6"/>
      <c r="P56" s="6"/>
      <c r="R56" s="7"/>
      <c r="S56" s="7"/>
      <c r="T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6"/>
      <c r="AI56" s="7"/>
      <c r="AJ56" s="7"/>
      <c r="AK56" s="7"/>
    </row>
    <row r="57" spans="1:37" x14ac:dyDescent="0.3">
      <c r="A57" s="6"/>
      <c r="B57" s="239"/>
      <c r="C57" s="6"/>
      <c r="D57" s="240"/>
      <c r="E57" s="6"/>
      <c r="F57" s="6"/>
      <c r="G57" s="6"/>
      <c r="H57" s="6"/>
      <c r="I57" s="6"/>
      <c r="J57" s="7"/>
      <c r="K57" s="6"/>
      <c r="L57" s="6"/>
      <c r="M57" s="6"/>
      <c r="N57" s="6"/>
      <c r="O57" s="6"/>
      <c r="P57" s="6"/>
      <c r="R57" s="7"/>
      <c r="S57" s="7"/>
      <c r="T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6"/>
      <c r="AI57" s="7"/>
      <c r="AJ57" s="7"/>
      <c r="AK57" s="7"/>
    </row>
    <row r="58" spans="1:37" x14ac:dyDescent="0.3">
      <c r="A58" s="6"/>
      <c r="B58" s="239"/>
      <c r="C58" s="6"/>
      <c r="D58" s="240"/>
      <c r="E58" s="6"/>
      <c r="F58" s="6"/>
      <c r="G58" s="6"/>
      <c r="H58" s="6"/>
      <c r="I58" s="6"/>
      <c r="J58" s="7"/>
      <c r="K58" s="6"/>
      <c r="L58" s="6"/>
      <c r="M58" s="6"/>
      <c r="N58" s="6"/>
      <c r="O58" s="6"/>
      <c r="P58" s="6"/>
      <c r="R58" s="7"/>
      <c r="S58" s="7"/>
      <c r="T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6"/>
      <c r="AI58" s="7"/>
      <c r="AJ58" s="7"/>
      <c r="AK58" s="7"/>
    </row>
    <row r="59" spans="1:37" x14ac:dyDescent="0.3">
      <c r="A59" s="6"/>
      <c r="B59" s="239"/>
      <c r="C59" s="6"/>
      <c r="D59" s="240"/>
      <c r="E59" s="6"/>
      <c r="F59" s="6"/>
      <c r="G59" s="6"/>
      <c r="H59" s="6"/>
      <c r="I59" s="6"/>
      <c r="J59" s="7"/>
      <c r="K59" s="6"/>
      <c r="L59" s="6"/>
      <c r="M59" s="6"/>
      <c r="N59" s="6"/>
      <c r="O59" s="6"/>
      <c r="P59" s="6"/>
      <c r="R59" s="7"/>
      <c r="S59" s="7"/>
      <c r="T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6"/>
      <c r="AI59" s="7"/>
      <c r="AJ59" s="7"/>
      <c r="AK59" s="7"/>
    </row>
    <row r="60" spans="1:37" x14ac:dyDescent="0.3">
      <c r="A60" s="6"/>
      <c r="B60" s="239"/>
      <c r="C60" s="6"/>
      <c r="D60" s="240"/>
      <c r="E60" s="6"/>
      <c r="F60" s="6"/>
      <c r="G60" s="6"/>
      <c r="H60" s="6"/>
      <c r="I60" s="6"/>
      <c r="J60" s="7"/>
      <c r="K60" s="6"/>
      <c r="L60" s="6"/>
      <c r="M60" s="6"/>
      <c r="N60" s="6"/>
      <c r="O60" s="6"/>
      <c r="P60" s="6"/>
      <c r="R60" s="7"/>
      <c r="S60" s="7"/>
      <c r="T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6"/>
      <c r="AI60" s="7"/>
      <c r="AJ60" s="7"/>
      <c r="AK60" s="7"/>
    </row>
    <row r="61" spans="1:37" x14ac:dyDescent="0.3">
      <c r="A61" s="6"/>
      <c r="B61" s="239"/>
      <c r="C61" s="6"/>
      <c r="D61" s="240"/>
      <c r="E61" s="6"/>
      <c r="F61" s="6"/>
      <c r="G61" s="6"/>
      <c r="H61" s="6"/>
      <c r="I61" s="6"/>
      <c r="J61" s="7"/>
      <c r="K61" s="6"/>
      <c r="L61" s="6"/>
      <c r="M61" s="6"/>
      <c r="N61" s="6"/>
      <c r="O61" s="6"/>
      <c r="P61" s="6"/>
      <c r="R61" s="7"/>
      <c r="S61" s="7"/>
      <c r="T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6"/>
      <c r="AI61" s="7"/>
      <c r="AJ61" s="7"/>
      <c r="AK61" s="7"/>
    </row>
    <row r="62" spans="1:37" x14ac:dyDescent="0.3">
      <c r="A62" s="6"/>
      <c r="B62" s="239"/>
      <c r="C62" s="6"/>
      <c r="D62" s="240"/>
      <c r="E62" s="6"/>
      <c r="F62" s="6"/>
      <c r="G62" s="6"/>
      <c r="H62" s="6"/>
      <c r="I62" s="6"/>
      <c r="J62" s="7"/>
      <c r="K62" s="6"/>
      <c r="L62" s="6"/>
      <c r="M62" s="6"/>
      <c r="N62" s="6"/>
      <c r="O62" s="6"/>
      <c r="P62" s="6"/>
      <c r="R62" s="7"/>
      <c r="S62" s="7"/>
      <c r="T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6"/>
      <c r="AI62" s="7"/>
      <c r="AJ62" s="7"/>
      <c r="AK62" s="7"/>
    </row>
    <row r="63" spans="1:37" x14ac:dyDescent="0.3">
      <c r="A63" s="6"/>
      <c r="B63" s="239"/>
      <c r="C63" s="6"/>
      <c r="D63" s="240"/>
      <c r="E63" s="6"/>
      <c r="F63" s="6"/>
      <c r="G63" s="6"/>
      <c r="H63" s="6"/>
      <c r="I63" s="6"/>
      <c r="J63" s="7"/>
      <c r="K63" s="6"/>
      <c r="L63" s="6"/>
      <c r="M63" s="6"/>
      <c r="N63" s="6"/>
      <c r="O63" s="6"/>
      <c r="P63" s="6"/>
      <c r="R63" s="7"/>
      <c r="S63" s="7"/>
      <c r="T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6"/>
      <c r="AI63" s="7"/>
      <c r="AJ63" s="7"/>
      <c r="AK63" s="7"/>
    </row>
    <row r="64" spans="1:37" x14ac:dyDescent="0.3">
      <c r="A64" s="6"/>
      <c r="B64" s="239"/>
      <c r="C64" s="6"/>
      <c r="D64" s="240"/>
      <c r="E64" s="6"/>
      <c r="F64" s="6"/>
      <c r="G64" s="6"/>
      <c r="H64" s="6"/>
      <c r="I64" s="6"/>
      <c r="J64" s="7"/>
      <c r="K64" s="6"/>
      <c r="L64" s="6"/>
      <c r="M64" s="6"/>
      <c r="N64" s="6"/>
      <c r="O64" s="6"/>
      <c r="P64" s="6"/>
      <c r="R64" s="7"/>
      <c r="S64" s="7"/>
      <c r="T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6"/>
      <c r="AI64" s="7"/>
      <c r="AJ64" s="7"/>
      <c r="AK64" s="7"/>
    </row>
    <row r="65" spans="1:37" x14ac:dyDescent="0.3">
      <c r="A65" s="6"/>
      <c r="B65" s="239"/>
      <c r="C65" s="6"/>
      <c r="D65" s="240"/>
      <c r="E65" s="6"/>
      <c r="F65" s="6"/>
      <c r="G65" s="6"/>
      <c r="H65" s="6"/>
      <c r="I65" s="6"/>
      <c r="J65" s="7"/>
      <c r="K65" s="6"/>
      <c r="L65" s="6"/>
      <c r="M65" s="6"/>
      <c r="N65" s="6"/>
      <c r="O65" s="6"/>
      <c r="P65" s="6"/>
      <c r="R65" s="7"/>
      <c r="S65" s="7"/>
      <c r="T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6"/>
      <c r="AI65" s="7"/>
      <c r="AJ65" s="7"/>
      <c r="AK65" s="7"/>
    </row>
    <row r="66" spans="1:37" x14ac:dyDescent="0.3">
      <c r="A66" s="6"/>
      <c r="B66" s="239"/>
      <c r="C66" s="6"/>
      <c r="D66" s="240"/>
      <c r="E66" s="6"/>
      <c r="F66" s="6"/>
      <c r="G66" s="6"/>
      <c r="H66" s="6"/>
      <c r="I66" s="6"/>
      <c r="J66" s="7"/>
      <c r="K66" s="6"/>
      <c r="L66" s="6"/>
      <c r="M66" s="6"/>
      <c r="N66" s="6"/>
      <c r="O66" s="6"/>
      <c r="P66" s="6"/>
      <c r="R66" s="7"/>
      <c r="S66" s="7"/>
      <c r="T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6"/>
      <c r="AI66" s="7"/>
      <c r="AJ66" s="7"/>
      <c r="AK66" s="7"/>
    </row>
    <row r="67" spans="1:37" x14ac:dyDescent="0.3">
      <c r="A67" s="6"/>
      <c r="B67" s="239"/>
      <c r="C67" s="6"/>
      <c r="D67" s="240"/>
      <c r="E67" s="6"/>
      <c r="F67" s="6"/>
      <c r="G67" s="6"/>
      <c r="H67" s="6"/>
      <c r="I67" s="6"/>
      <c r="J67" s="7"/>
      <c r="K67" s="6"/>
      <c r="L67" s="6"/>
      <c r="M67" s="6"/>
      <c r="N67" s="6"/>
      <c r="O67" s="6"/>
      <c r="P67" s="6"/>
      <c r="R67" s="7"/>
      <c r="S67" s="7"/>
      <c r="T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6"/>
      <c r="AI67" s="7"/>
      <c r="AJ67" s="7"/>
      <c r="AK67" s="7"/>
    </row>
    <row r="68" spans="1:37" x14ac:dyDescent="0.3">
      <c r="A68" s="6"/>
      <c r="B68" s="239"/>
      <c r="C68" s="6"/>
      <c r="D68" s="240"/>
      <c r="E68" s="6"/>
      <c r="F68" s="6"/>
      <c r="G68" s="6"/>
      <c r="H68" s="6"/>
      <c r="I68" s="6"/>
      <c r="J68" s="7"/>
      <c r="K68" s="6"/>
      <c r="L68" s="6"/>
      <c r="M68" s="6"/>
      <c r="N68" s="6"/>
      <c r="O68" s="6"/>
      <c r="P68" s="6"/>
      <c r="R68" s="7"/>
      <c r="S68" s="7"/>
      <c r="T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6"/>
      <c r="AI68" s="7"/>
      <c r="AJ68" s="7"/>
      <c r="AK68" s="7"/>
    </row>
    <row r="69" spans="1:37" x14ac:dyDescent="0.3">
      <c r="A69" s="6"/>
      <c r="B69" s="239"/>
      <c r="C69" s="6"/>
      <c r="D69" s="240"/>
      <c r="E69" s="6"/>
      <c r="F69" s="6"/>
      <c r="G69" s="6"/>
      <c r="H69" s="6"/>
      <c r="I69" s="6"/>
      <c r="J69" s="7"/>
      <c r="K69" s="6"/>
      <c r="L69" s="6"/>
      <c r="M69" s="6"/>
      <c r="N69" s="6"/>
      <c r="O69" s="6"/>
      <c r="P69" s="6"/>
      <c r="R69" s="7"/>
      <c r="S69" s="7"/>
      <c r="T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6"/>
      <c r="AI69" s="7"/>
      <c r="AJ69" s="7"/>
      <c r="AK69" s="7"/>
    </row>
    <row r="70" spans="1:37" x14ac:dyDescent="0.3">
      <c r="A70" s="6"/>
      <c r="B70" s="239"/>
      <c r="C70" s="6"/>
      <c r="D70" s="240"/>
      <c r="E70" s="6"/>
      <c r="F70" s="6"/>
      <c r="G70" s="6"/>
      <c r="H70" s="6"/>
      <c r="I70" s="6"/>
      <c r="J70" s="7"/>
      <c r="K70" s="6"/>
      <c r="L70" s="6"/>
      <c r="M70" s="6"/>
      <c r="N70" s="6"/>
      <c r="O70" s="6"/>
      <c r="P70" s="6"/>
      <c r="R70" s="7"/>
      <c r="S70" s="7"/>
      <c r="T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6"/>
      <c r="AI70" s="7"/>
      <c r="AJ70" s="7"/>
      <c r="AK70" s="7"/>
    </row>
    <row r="71" spans="1:37" x14ac:dyDescent="0.3">
      <c r="A71" s="6"/>
      <c r="B71" s="239"/>
      <c r="C71" s="6"/>
      <c r="D71" s="240"/>
      <c r="E71" s="6"/>
      <c r="F71" s="6"/>
      <c r="G71" s="6"/>
      <c r="H71" s="6"/>
      <c r="I71" s="6"/>
      <c r="J71" s="7"/>
      <c r="K71" s="6"/>
      <c r="L71" s="6"/>
      <c r="M71" s="6"/>
      <c r="N71" s="6"/>
      <c r="O71" s="6"/>
      <c r="P71" s="6"/>
      <c r="R71" s="7"/>
      <c r="S71" s="7"/>
      <c r="T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6"/>
      <c r="AI71" s="7"/>
      <c r="AJ71" s="7"/>
      <c r="AK71" s="7"/>
    </row>
    <row r="72" spans="1:37" x14ac:dyDescent="0.3">
      <c r="A72" s="6"/>
      <c r="B72" s="239"/>
      <c r="C72" s="6"/>
      <c r="D72" s="240"/>
      <c r="E72" s="6"/>
      <c r="F72" s="6"/>
      <c r="G72" s="6"/>
      <c r="H72" s="6"/>
      <c r="I72" s="6"/>
      <c r="J72" s="7"/>
      <c r="K72" s="6"/>
      <c r="L72" s="6"/>
      <c r="M72" s="6"/>
      <c r="N72" s="6"/>
      <c r="O72" s="6"/>
      <c r="P72" s="6"/>
      <c r="R72" s="7"/>
      <c r="S72" s="7"/>
      <c r="T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6"/>
      <c r="AI72" s="7"/>
      <c r="AJ72" s="7"/>
      <c r="AK72" s="7"/>
    </row>
    <row r="73" spans="1:37" x14ac:dyDescent="0.3">
      <c r="A73" s="6"/>
      <c r="B73" s="239"/>
      <c r="C73" s="6"/>
      <c r="D73" s="240"/>
      <c r="E73" s="6"/>
      <c r="F73" s="6"/>
      <c r="G73" s="6"/>
      <c r="H73" s="6"/>
      <c r="I73" s="6"/>
      <c r="J73" s="7"/>
      <c r="K73" s="6"/>
      <c r="L73" s="6"/>
      <c r="M73" s="6"/>
      <c r="N73" s="6"/>
      <c r="O73" s="6"/>
      <c r="P73" s="6"/>
      <c r="R73" s="7"/>
      <c r="S73" s="7"/>
      <c r="T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6"/>
      <c r="AI73" s="7"/>
      <c r="AJ73" s="7"/>
      <c r="AK73" s="7"/>
    </row>
    <row r="74" spans="1:37" x14ac:dyDescent="0.3">
      <c r="A74" s="6"/>
      <c r="B74" s="239"/>
      <c r="C74" s="6"/>
      <c r="D74" s="240"/>
      <c r="E74" s="6"/>
      <c r="F74" s="6"/>
      <c r="G74" s="6"/>
      <c r="H74" s="6"/>
      <c r="I74" s="6"/>
      <c r="J74" s="7"/>
      <c r="K74" s="6"/>
      <c r="L74" s="6"/>
      <c r="M74" s="6"/>
      <c r="N74" s="6"/>
      <c r="O74" s="6"/>
      <c r="P74" s="6"/>
      <c r="R74" s="7"/>
      <c r="S74" s="7"/>
      <c r="T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6"/>
      <c r="AI74" s="7"/>
      <c r="AJ74" s="7"/>
      <c r="AK74" s="7"/>
    </row>
    <row r="75" spans="1:37" x14ac:dyDescent="0.3">
      <c r="A75" s="6"/>
      <c r="B75" s="239"/>
      <c r="C75" s="6"/>
      <c r="D75" s="240"/>
      <c r="E75" s="6"/>
      <c r="F75" s="6"/>
      <c r="G75" s="6"/>
      <c r="H75" s="6"/>
      <c r="I75" s="6"/>
      <c r="J75" s="7"/>
      <c r="K75" s="6"/>
      <c r="L75" s="6"/>
      <c r="M75" s="6"/>
      <c r="N75" s="6"/>
      <c r="O75" s="6"/>
      <c r="P75" s="6"/>
      <c r="R75" s="7"/>
      <c r="S75" s="7"/>
      <c r="T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6"/>
      <c r="AI75" s="7"/>
      <c r="AJ75" s="7"/>
      <c r="AK75" s="7"/>
    </row>
    <row r="76" spans="1:37" x14ac:dyDescent="0.3">
      <c r="A76" s="6"/>
      <c r="B76" s="239"/>
      <c r="C76" s="6"/>
      <c r="D76" s="240"/>
      <c r="E76" s="6"/>
      <c r="F76" s="6"/>
      <c r="G76" s="6"/>
      <c r="H76" s="6"/>
      <c r="I76" s="6"/>
      <c r="J76" s="7"/>
      <c r="K76" s="6"/>
      <c r="L76" s="6"/>
      <c r="M76" s="6"/>
      <c r="N76" s="6"/>
      <c r="O76" s="6"/>
      <c r="P76" s="6"/>
      <c r="R76" s="7"/>
      <c r="S76" s="7"/>
      <c r="T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6"/>
      <c r="AI76" s="7"/>
      <c r="AJ76" s="7"/>
      <c r="AK76" s="7"/>
    </row>
    <row r="77" spans="1:37" x14ac:dyDescent="0.3">
      <c r="A77" s="6"/>
      <c r="B77" s="239"/>
      <c r="C77" s="6"/>
      <c r="D77" s="240"/>
      <c r="E77" s="6"/>
      <c r="F77" s="6"/>
      <c r="G77" s="6"/>
      <c r="H77" s="6"/>
      <c r="I77" s="6"/>
      <c r="J77" s="7"/>
      <c r="K77" s="6"/>
      <c r="L77" s="6"/>
      <c r="M77" s="6"/>
      <c r="N77" s="6"/>
      <c r="O77" s="6"/>
      <c r="P77" s="6"/>
      <c r="R77" s="7"/>
      <c r="S77" s="7"/>
      <c r="T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6"/>
      <c r="AI77" s="7"/>
      <c r="AJ77" s="7"/>
      <c r="AK77" s="7"/>
    </row>
    <row r="78" spans="1:37" x14ac:dyDescent="0.3">
      <c r="A78" s="6"/>
      <c r="B78" s="239"/>
      <c r="C78" s="6"/>
      <c r="D78" s="240"/>
      <c r="E78" s="6"/>
      <c r="F78" s="6"/>
      <c r="G78" s="6"/>
      <c r="H78" s="6"/>
      <c r="I78" s="6"/>
      <c r="J78" s="7"/>
      <c r="K78" s="6"/>
      <c r="L78" s="6"/>
      <c r="M78" s="6"/>
      <c r="N78" s="6"/>
      <c r="O78" s="6"/>
      <c r="P78" s="6"/>
      <c r="R78" s="7"/>
      <c r="S78" s="7"/>
      <c r="T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6"/>
      <c r="AI78" s="7"/>
      <c r="AJ78" s="7"/>
      <c r="AK78" s="7"/>
    </row>
    <row r="79" spans="1:37" x14ac:dyDescent="0.3">
      <c r="A79" s="6"/>
      <c r="B79" s="239"/>
      <c r="C79" s="6"/>
      <c r="D79" s="240"/>
      <c r="E79" s="6"/>
      <c r="F79" s="6"/>
      <c r="G79" s="6"/>
      <c r="H79" s="6"/>
      <c r="I79" s="6"/>
      <c r="J79" s="7"/>
      <c r="K79" s="6"/>
      <c r="L79" s="6"/>
      <c r="M79" s="6"/>
      <c r="N79" s="6"/>
      <c r="O79" s="6"/>
      <c r="P79" s="6"/>
      <c r="R79" s="7"/>
      <c r="S79" s="7"/>
      <c r="T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6"/>
      <c r="AI79" s="7"/>
      <c r="AJ79" s="7"/>
      <c r="AK79" s="7"/>
    </row>
    <row r="80" spans="1:37" x14ac:dyDescent="0.3">
      <c r="A80" s="6"/>
      <c r="B80" s="239"/>
      <c r="C80" s="6"/>
      <c r="D80" s="240"/>
      <c r="E80" s="6"/>
      <c r="F80" s="6"/>
      <c r="G80" s="6"/>
      <c r="H80" s="6"/>
      <c r="I80" s="6"/>
      <c r="J80" s="7"/>
      <c r="K80" s="6"/>
      <c r="L80" s="6"/>
      <c r="M80" s="6"/>
      <c r="N80" s="6"/>
      <c r="O80" s="6"/>
      <c r="P80" s="6"/>
      <c r="R80" s="7"/>
      <c r="S80" s="7"/>
      <c r="T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6"/>
      <c r="AI80" s="7"/>
      <c r="AJ80" s="7"/>
      <c r="AK80" s="7"/>
    </row>
    <row r="81" spans="1:37" x14ac:dyDescent="0.3">
      <c r="A81" s="6"/>
      <c r="B81" s="239"/>
      <c r="C81" s="6"/>
      <c r="D81" s="240"/>
      <c r="E81" s="6"/>
      <c r="F81" s="6"/>
      <c r="G81" s="6"/>
      <c r="H81" s="6"/>
      <c r="I81" s="6"/>
      <c r="J81" s="7"/>
      <c r="K81" s="6"/>
      <c r="L81" s="6"/>
      <c r="M81" s="6"/>
      <c r="N81" s="6"/>
      <c r="O81" s="6"/>
      <c r="P81" s="6"/>
      <c r="R81" s="7"/>
      <c r="S81" s="7"/>
      <c r="T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6"/>
      <c r="AI81" s="7"/>
      <c r="AJ81" s="7"/>
      <c r="AK81" s="7"/>
    </row>
    <row r="82" spans="1:37" x14ac:dyDescent="0.3">
      <c r="A82" s="6"/>
      <c r="B82" s="239"/>
      <c r="C82" s="6"/>
      <c r="D82" s="240"/>
      <c r="E82" s="6"/>
      <c r="F82" s="6"/>
      <c r="G82" s="6"/>
      <c r="H82" s="6"/>
      <c r="I82" s="6"/>
      <c r="J82" s="7"/>
      <c r="K82" s="6"/>
      <c r="L82" s="6"/>
      <c r="M82" s="6"/>
      <c r="N82" s="6"/>
      <c r="O82" s="6"/>
      <c r="P82" s="6"/>
      <c r="R82" s="7"/>
      <c r="S82" s="7"/>
      <c r="T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6"/>
      <c r="AI82" s="7"/>
      <c r="AJ82" s="7"/>
      <c r="AK82" s="7"/>
    </row>
    <row r="83" spans="1:37" x14ac:dyDescent="0.3">
      <c r="A83" s="6"/>
      <c r="B83" s="239"/>
      <c r="C83" s="6"/>
      <c r="D83" s="240"/>
      <c r="E83" s="6"/>
      <c r="F83" s="6"/>
      <c r="G83" s="6"/>
      <c r="H83" s="6"/>
      <c r="I83" s="6"/>
      <c r="J83" s="7"/>
      <c r="K83" s="6"/>
      <c r="L83" s="6"/>
      <c r="M83" s="6"/>
      <c r="N83" s="6"/>
      <c r="O83" s="6"/>
      <c r="P83" s="6"/>
      <c r="R83" s="7"/>
      <c r="S83" s="7"/>
      <c r="T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6"/>
      <c r="AI83" s="7"/>
      <c r="AJ83" s="7"/>
      <c r="AK83" s="7"/>
    </row>
    <row r="84" spans="1:37" x14ac:dyDescent="0.3">
      <c r="A84" s="6"/>
      <c r="B84" s="239"/>
      <c r="C84" s="6"/>
      <c r="D84" s="240"/>
      <c r="E84" s="6"/>
      <c r="F84" s="6"/>
      <c r="G84" s="6"/>
      <c r="H84" s="6"/>
      <c r="I84" s="6"/>
      <c r="J84" s="7"/>
      <c r="K84" s="6"/>
      <c r="L84" s="6"/>
      <c r="M84" s="6"/>
      <c r="N84" s="6"/>
      <c r="O84" s="6"/>
      <c r="P84" s="6"/>
      <c r="R84" s="7"/>
      <c r="S84" s="7"/>
      <c r="T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6"/>
      <c r="AI84" s="7"/>
      <c r="AJ84" s="7"/>
      <c r="AK84" s="7"/>
    </row>
    <row r="85" spans="1:37" x14ac:dyDescent="0.3">
      <c r="A85" s="6"/>
      <c r="B85" s="239"/>
      <c r="C85" s="6"/>
      <c r="D85" s="240"/>
      <c r="E85" s="6"/>
      <c r="F85" s="6"/>
      <c r="G85" s="6"/>
      <c r="H85" s="6"/>
      <c r="I85" s="6"/>
      <c r="J85" s="7"/>
      <c r="K85" s="6"/>
      <c r="L85" s="6"/>
      <c r="M85" s="6"/>
      <c r="N85" s="6"/>
      <c r="O85" s="6"/>
      <c r="P85" s="6"/>
      <c r="R85" s="7"/>
      <c r="S85" s="7"/>
      <c r="T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6"/>
      <c r="AI85" s="7"/>
      <c r="AJ85" s="7"/>
      <c r="AK85" s="7"/>
    </row>
    <row r="86" spans="1:37" x14ac:dyDescent="0.3">
      <c r="A86" s="6"/>
      <c r="B86" s="239"/>
      <c r="C86" s="6"/>
      <c r="D86" s="240"/>
      <c r="E86" s="6"/>
      <c r="F86" s="6"/>
      <c r="G86" s="6"/>
      <c r="H86" s="6"/>
      <c r="I86" s="6"/>
      <c r="J86" s="7"/>
      <c r="K86" s="6"/>
      <c r="L86" s="6"/>
      <c r="M86" s="6"/>
      <c r="N86" s="6"/>
      <c r="O86" s="6"/>
      <c r="P86" s="6"/>
      <c r="R86" s="7"/>
      <c r="S86" s="7"/>
      <c r="T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6"/>
      <c r="AI86" s="7"/>
      <c r="AJ86" s="7"/>
      <c r="AK86" s="7"/>
    </row>
    <row r="87" spans="1:37" x14ac:dyDescent="0.3">
      <c r="A87" s="6"/>
      <c r="B87" s="239"/>
      <c r="C87" s="6"/>
      <c r="D87" s="240"/>
      <c r="E87" s="6"/>
      <c r="F87" s="6"/>
      <c r="G87" s="6"/>
      <c r="H87" s="6"/>
      <c r="I87" s="6"/>
      <c r="J87" s="7"/>
      <c r="K87" s="6"/>
      <c r="L87" s="6"/>
      <c r="M87" s="6"/>
      <c r="N87" s="6"/>
      <c r="O87" s="6"/>
      <c r="P87" s="6"/>
      <c r="R87" s="7"/>
      <c r="S87" s="7"/>
      <c r="T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6"/>
      <c r="AI87" s="7"/>
      <c r="AJ87" s="7"/>
      <c r="AK87" s="7"/>
    </row>
    <row r="88" spans="1:37" x14ac:dyDescent="0.3">
      <c r="A88" s="6"/>
      <c r="B88" s="239"/>
      <c r="C88" s="6"/>
      <c r="D88" s="240"/>
      <c r="E88" s="6"/>
      <c r="F88" s="6"/>
      <c r="G88" s="6"/>
      <c r="H88" s="6"/>
      <c r="I88" s="6"/>
      <c r="J88" s="7"/>
      <c r="K88" s="6"/>
      <c r="L88" s="6"/>
      <c r="M88" s="6"/>
      <c r="N88" s="6"/>
      <c r="O88" s="6"/>
      <c r="P88" s="6"/>
      <c r="R88" s="7"/>
      <c r="S88" s="7"/>
      <c r="T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6"/>
      <c r="AI88" s="7"/>
      <c r="AJ88" s="7"/>
      <c r="AK88" s="7"/>
    </row>
    <row r="89" spans="1:37" x14ac:dyDescent="0.3">
      <c r="A89" s="6"/>
      <c r="B89" s="239"/>
      <c r="C89" s="6"/>
      <c r="D89" s="240"/>
      <c r="E89" s="6"/>
      <c r="F89" s="6"/>
      <c r="G89" s="6"/>
      <c r="H89" s="6"/>
      <c r="I89" s="6"/>
      <c r="J89" s="7"/>
      <c r="K89" s="6"/>
      <c r="L89" s="6"/>
      <c r="M89" s="6"/>
      <c r="N89" s="6"/>
      <c r="O89" s="6"/>
      <c r="P89" s="6"/>
      <c r="R89" s="7"/>
      <c r="S89" s="7"/>
      <c r="T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6"/>
      <c r="AI89" s="7"/>
      <c r="AJ89" s="7"/>
      <c r="AK89" s="7"/>
    </row>
    <row r="90" spans="1:37" x14ac:dyDescent="0.3">
      <c r="A90" s="6"/>
      <c r="B90" s="239"/>
      <c r="C90" s="6"/>
      <c r="D90" s="240"/>
      <c r="E90" s="6"/>
      <c r="F90" s="6"/>
      <c r="G90" s="6"/>
      <c r="H90" s="6"/>
      <c r="I90" s="6"/>
      <c r="J90" s="7"/>
      <c r="K90" s="6"/>
      <c r="L90" s="6"/>
      <c r="M90" s="6"/>
      <c r="N90" s="6"/>
      <c r="O90" s="6"/>
      <c r="P90" s="6"/>
      <c r="R90" s="7"/>
      <c r="S90" s="7"/>
      <c r="T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6"/>
      <c r="AI90" s="7"/>
      <c r="AJ90" s="7"/>
      <c r="AK90" s="7"/>
    </row>
    <row r="91" spans="1:37" x14ac:dyDescent="0.3">
      <c r="A91" s="6"/>
      <c r="B91" s="239"/>
      <c r="C91" s="6"/>
      <c r="D91" s="240"/>
      <c r="E91" s="6"/>
      <c r="F91" s="6"/>
      <c r="G91" s="6"/>
      <c r="H91" s="6"/>
      <c r="I91" s="6"/>
      <c r="J91" s="7"/>
      <c r="K91" s="6"/>
      <c r="L91" s="6"/>
      <c r="M91" s="6"/>
      <c r="N91" s="6"/>
      <c r="O91" s="6"/>
      <c r="P91" s="6"/>
      <c r="R91" s="7"/>
      <c r="S91" s="7"/>
      <c r="T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6"/>
      <c r="AI91" s="7"/>
      <c r="AJ91" s="7"/>
      <c r="AK91" s="7"/>
    </row>
    <row r="92" spans="1:37" x14ac:dyDescent="0.3">
      <c r="A92" s="6"/>
      <c r="B92" s="239"/>
      <c r="C92" s="6"/>
      <c r="D92" s="240"/>
      <c r="E92" s="6"/>
      <c r="F92" s="6"/>
      <c r="G92" s="6"/>
      <c r="H92" s="6"/>
      <c r="I92" s="6"/>
      <c r="J92" s="7"/>
      <c r="K92" s="6"/>
      <c r="L92" s="6"/>
      <c r="M92" s="6"/>
      <c r="N92" s="6"/>
      <c r="O92" s="6"/>
      <c r="P92" s="6"/>
      <c r="R92" s="7"/>
      <c r="S92" s="7"/>
      <c r="T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6"/>
      <c r="AI92" s="7"/>
      <c r="AJ92" s="7"/>
      <c r="AK92" s="7"/>
    </row>
    <row r="93" spans="1:37" x14ac:dyDescent="0.3">
      <c r="A93" s="6"/>
      <c r="B93" s="239"/>
      <c r="C93" s="6"/>
      <c r="D93" s="240"/>
      <c r="E93" s="6"/>
      <c r="F93" s="6"/>
      <c r="G93" s="6"/>
      <c r="H93" s="6"/>
      <c r="I93" s="6"/>
      <c r="J93" s="7"/>
      <c r="K93" s="6"/>
      <c r="L93" s="6"/>
      <c r="M93" s="6"/>
      <c r="N93" s="6"/>
      <c r="O93" s="6"/>
      <c r="P93" s="6"/>
      <c r="R93" s="7"/>
      <c r="S93" s="7"/>
      <c r="T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6"/>
      <c r="AI93" s="7"/>
      <c r="AJ93" s="7"/>
      <c r="AK93" s="7"/>
    </row>
    <row r="94" spans="1:37" x14ac:dyDescent="0.3">
      <c r="A94" s="6"/>
      <c r="B94" s="239"/>
      <c r="C94" s="6"/>
      <c r="D94" s="240"/>
      <c r="E94" s="6"/>
      <c r="F94" s="6"/>
      <c r="G94" s="6"/>
      <c r="H94" s="6"/>
      <c r="I94" s="6"/>
      <c r="J94" s="7"/>
      <c r="K94" s="6"/>
      <c r="L94" s="6"/>
      <c r="M94" s="6"/>
      <c r="N94" s="6"/>
      <c r="O94" s="6"/>
      <c r="P94" s="6"/>
      <c r="R94" s="7"/>
      <c r="S94" s="7"/>
      <c r="T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6"/>
      <c r="AI94" s="7"/>
      <c r="AJ94" s="7"/>
      <c r="AK94" s="7"/>
    </row>
    <row r="95" spans="1:37" x14ac:dyDescent="0.3">
      <c r="A95" s="6"/>
      <c r="B95" s="239"/>
      <c r="C95" s="6"/>
      <c r="D95" s="240"/>
      <c r="E95" s="6"/>
      <c r="F95" s="6"/>
      <c r="G95" s="6"/>
      <c r="H95" s="6"/>
      <c r="I95" s="6"/>
      <c r="J95" s="7"/>
      <c r="K95" s="6"/>
      <c r="L95" s="6"/>
      <c r="M95" s="6"/>
      <c r="N95" s="6"/>
      <c r="O95" s="6"/>
      <c r="P95" s="6"/>
      <c r="R95" s="7"/>
      <c r="S95" s="7"/>
      <c r="T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6"/>
      <c r="AI95" s="7"/>
      <c r="AJ95" s="7"/>
      <c r="AK95" s="7"/>
    </row>
    <row r="96" spans="1:37" x14ac:dyDescent="0.3">
      <c r="A96" s="6"/>
      <c r="B96" s="239"/>
      <c r="C96" s="6"/>
      <c r="D96" s="240"/>
      <c r="E96" s="6"/>
      <c r="F96" s="6"/>
      <c r="G96" s="6"/>
      <c r="H96" s="6"/>
      <c r="I96" s="6"/>
      <c r="J96" s="7"/>
      <c r="K96" s="6"/>
      <c r="L96" s="6"/>
      <c r="M96" s="6"/>
      <c r="N96" s="6"/>
      <c r="O96" s="6"/>
      <c r="P96" s="6"/>
      <c r="R96" s="7"/>
      <c r="S96" s="7"/>
      <c r="T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6"/>
      <c r="AI96" s="7"/>
      <c r="AJ96" s="7"/>
      <c r="AK96" s="7"/>
    </row>
    <row r="97" spans="1:37" x14ac:dyDescent="0.3">
      <c r="A97" s="6"/>
      <c r="B97" s="239"/>
      <c r="C97" s="6"/>
      <c r="D97" s="240"/>
      <c r="E97" s="6"/>
      <c r="F97" s="6"/>
      <c r="G97" s="6"/>
      <c r="H97" s="6"/>
      <c r="I97" s="6"/>
      <c r="J97" s="7"/>
      <c r="K97" s="6"/>
      <c r="L97" s="6"/>
      <c r="M97" s="6"/>
      <c r="N97" s="6"/>
      <c r="O97" s="6"/>
      <c r="P97" s="6"/>
      <c r="R97" s="7"/>
      <c r="S97" s="7"/>
      <c r="T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6"/>
      <c r="AI97" s="7"/>
      <c r="AJ97" s="7"/>
      <c r="AK97" s="7"/>
    </row>
    <row r="98" spans="1:37" x14ac:dyDescent="0.3">
      <c r="A98" s="6"/>
      <c r="B98" s="239"/>
      <c r="C98" s="6"/>
      <c r="D98" s="240"/>
      <c r="E98" s="6"/>
      <c r="F98" s="6"/>
      <c r="G98" s="6"/>
      <c r="H98" s="6"/>
      <c r="I98" s="6"/>
      <c r="J98" s="7"/>
      <c r="K98" s="6"/>
      <c r="L98" s="6"/>
      <c r="M98" s="6"/>
      <c r="N98" s="6"/>
      <c r="O98" s="6"/>
      <c r="P98" s="6"/>
      <c r="R98" s="7"/>
      <c r="S98" s="7"/>
      <c r="T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6"/>
      <c r="AI98" s="7"/>
      <c r="AJ98" s="7"/>
      <c r="AK98" s="7"/>
    </row>
    <row r="99" spans="1:37" x14ac:dyDescent="0.3">
      <c r="A99" s="6"/>
      <c r="B99" s="239"/>
      <c r="C99" s="6"/>
      <c r="D99" s="240"/>
      <c r="E99" s="6"/>
      <c r="F99" s="6"/>
      <c r="G99" s="6"/>
      <c r="H99" s="6"/>
      <c r="I99" s="6"/>
      <c r="J99" s="7"/>
      <c r="K99" s="6"/>
      <c r="L99" s="6"/>
      <c r="M99" s="6"/>
      <c r="N99" s="6"/>
      <c r="O99" s="6"/>
      <c r="P99" s="6"/>
      <c r="R99" s="7"/>
      <c r="S99" s="7"/>
      <c r="T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6"/>
      <c r="AI99" s="7"/>
      <c r="AJ99" s="7"/>
      <c r="AK99" s="7"/>
    </row>
    <row r="100" spans="1:37" x14ac:dyDescent="0.3">
      <c r="A100" s="6"/>
      <c r="B100" s="239"/>
      <c r="C100" s="6"/>
      <c r="D100" s="240"/>
      <c r="E100" s="6"/>
      <c r="F100" s="6"/>
      <c r="G100" s="6"/>
      <c r="H100" s="6"/>
      <c r="I100" s="6"/>
      <c r="J100" s="7"/>
      <c r="K100" s="6"/>
      <c r="L100" s="6"/>
      <c r="M100" s="6"/>
      <c r="N100" s="6"/>
      <c r="O100" s="6"/>
      <c r="P100" s="6"/>
      <c r="R100" s="7"/>
      <c r="S100" s="7"/>
      <c r="T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6"/>
      <c r="AI100" s="7"/>
      <c r="AJ100" s="7"/>
      <c r="AK100" s="7"/>
    </row>
    <row r="101" spans="1:37" x14ac:dyDescent="0.3">
      <c r="A101" s="5"/>
      <c r="B101" s="241"/>
      <c r="C101" s="5"/>
      <c r="D101" s="242"/>
      <c r="E101" s="5"/>
      <c r="F101" s="5"/>
      <c r="G101" s="5"/>
      <c r="H101" s="5"/>
      <c r="I101" s="5"/>
      <c r="J101" s="243"/>
      <c r="K101" s="5"/>
      <c r="L101" s="5"/>
      <c r="M101" s="5"/>
      <c r="N101" s="5"/>
      <c r="O101" s="5"/>
      <c r="P101" s="5"/>
      <c r="R101" s="243"/>
      <c r="S101" s="243"/>
      <c r="T101" s="243"/>
      <c r="V101" s="243"/>
      <c r="W101" s="243"/>
      <c r="X101" s="243"/>
      <c r="Y101" s="243"/>
      <c r="Z101" s="243"/>
      <c r="AA101" s="243"/>
      <c r="AB101" s="243"/>
      <c r="AC101" s="243"/>
      <c r="AD101" s="243"/>
      <c r="AE101" s="243"/>
      <c r="AF101" s="243"/>
      <c r="AG101" s="243"/>
      <c r="AH101" s="5"/>
      <c r="AI101" s="243"/>
      <c r="AJ101" s="243"/>
      <c r="AK101" s="243"/>
    </row>
    <row r="102" spans="1:37" x14ac:dyDescent="0.3">
      <c r="A102" s="5"/>
      <c r="B102" s="241"/>
      <c r="C102" s="5"/>
      <c r="D102" s="242"/>
      <c r="E102" s="5"/>
      <c r="F102" s="5"/>
      <c r="G102" s="5"/>
      <c r="H102" s="5"/>
      <c r="I102" s="5"/>
      <c r="J102" s="243"/>
      <c r="K102" s="5"/>
      <c r="L102" s="5"/>
      <c r="M102" s="5"/>
      <c r="N102" s="5"/>
      <c r="O102" s="5"/>
      <c r="P102" s="5"/>
      <c r="R102" s="243"/>
      <c r="S102" s="243"/>
      <c r="T102" s="243"/>
      <c r="V102" s="243"/>
      <c r="W102" s="243"/>
      <c r="X102" s="243"/>
      <c r="Y102" s="243"/>
      <c r="Z102" s="243"/>
      <c r="AA102" s="243"/>
      <c r="AB102" s="243"/>
      <c r="AC102" s="243"/>
      <c r="AD102" s="243"/>
      <c r="AE102" s="243"/>
      <c r="AF102" s="243"/>
      <c r="AG102" s="243"/>
      <c r="AH102" s="5"/>
      <c r="AI102" s="243"/>
      <c r="AJ102" s="243"/>
      <c r="AK102" s="243"/>
    </row>
    <row r="103" spans="1:37" x14ac:dyDescent="0.3">
      <c r="A103" s="5"/>
      <c r="B103" s="241"/>
      <c r="C103" s="5"/>
      <c r="D103" s="242"/>
      <c r="E103" s="5"/>
      <c r="F103" s="5"/>
      <c r="G103" s="5"/>
      <c r="H103" s="5"/>
      <c r="I103" s="5"/>
      <c r="J103" s="243"/>
      <c r="K103" s="5"/>
      <c r="L103" s="5"/>
      <c r="M103" s="5"/>
      <c r="N103" s="5"/>
      <c r="O103" s="5"/>
      <c r="P103" s="5"/>
      <c r="R103" s="243"/>
      <c r="S103" s="243"/>
      <c r="T103" s="243"/>
      <c r="V103" s="243"/>
      <c r="W103" s="243"/>
      <c r="X103" s="243"/>
      <c r="Y103" s="243"/>
      <c r="Z103" s="243"/>
      <c r="AA103" s="243"/>
      <c r="AB103" s="243"/>
      <c r="AC103" s="243"/>
      <c r="AD103" s="243"/>
      <c r="AE103" s="243"/>
      <c r="AF103" s="243"/>
      <c r="AG103" s="243"/>
      <c r="AH103" s="5"/>
      <c r="AI103" s="243"/>
      <c r="AJ103" s="243"/>
      <c r="AK103" s="243"/>
    </row>
    <row r="104" spans="1:37" x14ac:dyDescent="0.3">
      <c r="A104" s="5"/>
      <c r="B104" s="241"/>
      <c r="C104" s="5"/>
      <c r="D104" s="242"/>
      <c r="E104" s="5"/>
      <c r="F104" s="5"/>
      <c r="G104" s="5"/>
      <c r="H104" s="5"/>
      <c r="I104" s="5"/>
      <c r="J104" s="243"/>
      <c r="K104" s="5"/>
      <c r="L104" s="5"/>
      <c r="M104" s="5"/>
      <c r="N104" s="5"/>
      <c r="O104" s="5"/>
      <c r="P104" s="5"/>
      <c r="R104" s="243"/>
      <c r="S104" s="243"/>
      <c r="T104" s="243"/>
      <c r="V104" s="243"/>
      <c r="W104" s="243"/>
      <c r="X104" s="243"/>
      <c r="Y104" s="243"/>
      <c r="Z104" s="243"/>
      <c r="AA104" s="243"/>
      <c r="AB104" s="243"/>
      <c r="AC104" s="243"/>
      <c r="AD104" s="243"/>
      <c r="AE104" s="243"/>
      <c r="AF104" s="243"/>
      <c r="AG104" s="243"/>
      <c r="AH104" s="5"/>
      <c r="AI104" s="243"/>
      <c r="AJ104" s="243"/>
      <c r="AK104" s="243"/>
    </row>
    <row r="105" spans="1:37" x14ac:dyDescent="0.3">
      <c r="A105" s="5"/>
      <c r="B105" s="241"/>
      <c r="C105" s="5"/>
      <c r="D105" s="242"/>
      <c r="E105" s="5"/>
      <c r="F105" s="5"/>
      <c r="G105" s="5"/>
      <c r="H105" s="5"/>
      <c r="I105" s="5"/>
      <c r="J105" s="243"/>
      <c r="K105" s="5"/>
      <c r="L105" s="5"/>
      <c r="M105" s="5"/>
      <c r="N105" s="5"/>
      <c r="O105" s="5"/>
      <c r="P105" s="5"/>
      <c r="R105" s="243"/>
      <c r="S105" s="243"/>
      <c r="T105" s="243"/>
      <c r="V105" s="243"/>
      <c r="W105" s="243"/>
      <c r="X105" s="243"/>
      <c r="Y105" s="243"/>
      <c r="Z105" s="243"/>
      <c r="AA105" s="243"/>
      <c r="AB105" s="243"/>
      <c r="AC105" s="243"/>
      <c r="AD105" s="243"/>
      <c r="AE105" s="243"/>
      <c r="AF105" s="243"/>
      <c r="AG105" s="243"/>
      <c r="AH105" s="5"/>
      <c r="AI105" s="243"/>
      <c r="AJ105" s="243"/>
      <c r="AK105" s="243"/>
    </row>
    <row r="106" spans="1:37" x14ac:dyDescent="0.3">
      <c r="A106" s="5"/>
      <c r="B106" s="241"/>
      <c r="C106" s="5"/>
      <c r="D106" s="242"/>
      <c r="E106" s="5"/>
      <c r="F106" s="5"/>
      <c r="G106" s="5"/>
      <c r="H106" s="5"/>
      <c r="I106" s="5"/>
      <c r="J106" s="243"/>
      <c r="K106" s="5"/>
      <c r="L106" s="5"/>
      <c r="M106" s="5"/>
      <c r="N106" s="5"/>
      <c r="O106" s="5"/>
      <c r="P106" s="5"/>
      <c r="R106" s="243"/>
      <c r="S106" s="243"/>
      <c r="T106" s="243"/>
      <c r="V106" s="243"/>
      <c r="W106" s="243"/>
      <c r="X106" s="243"/>
      <c r="Y106" s="243"/>
      <c r="Z106" s="243"/>
      <c r="AA106" s="243"/>
      <c r="AB106" s="243"/>
      <c r="AC106" s="243"/>
      <c r="AD106" s="243"/>
      <c r="AE106" s="243"/>
      <c r="AF106" s="243"/>
      <c r="AG106" s="243"/>
      <c r="AH106" s="5"/>
      <c r="AI106" s="243"/>
      <c r="AJ106" s="243"/>
      <c r="AK106" s="243"/>
    </row>
    <row r="107" spans="1:37" x14ac:dyDescent="0.3">
      <c r="A107" s="5"/>
      <c r="B107" s="241"/>
      <c r="C107" s="5"/>
      <c r="D107" s="242"/>
      <c r="E107" s="5"/>
      <c r="F107" s="5"/>
      <c r="G107" s="5"/>
      <c r="H107" s="5"/>
      <c r="I107" s="5"/>
      <c r="J107" s="243"/>
      <c r="K107" s="5"/>
      <c r="L107" s="5"/>
      <c r="M107" s="5"/>
      <c r="N107" s="5"/>
      <c r="O107" s="5"/>
      <c r="P107" s="5"/>
      <c r="R107" s="243"/>
      <c r="S107" s="243"/>
      <c r="T107" s="243"/>
      <c r="V107" s="243"/>
      <c r="W107" s="243"/>
      <c r="X107" s="243"/>
      <c r="Y107" s="243"/>
      <c r="Z107" s="243"/>
      <c r="AA107" s="243"/>
      <c r="AB107" s="243"/>
      <c r="AC107" s="243"/>
      <c r="AD107" s="243"/>
      <c r="AE107" s="243"/>
      <c r="AF107" s="243"/>
      <c r="AG107" s="243"/>
      <c r="AH107" s="5"/>
      <c r="AI107" s="243"/>
      <c r="AJ107" s="243"/>
      <c r="AK107" s="243"/>
    </row>
    <row r="108" spans="1:37" x14ac:dyDescent="0.3">
      <c r="B108" s="241"/>
      <c r="C108" s="5"/>
      <c r="D108" s="242"/>
      <c r="E108" s="5"/>
      <c r="F108" s="5"/>
      <c r="G108" s="5"/>
      <c r="H108" s="5"/>
      <c r="I108" s="5"/>
      <c r="J108" s="243"/>
      <c r="K108" s="5"/>
      <c r="L108" s="5"/>
      <c r="M108" s="5"/>
      <c r="N108" s="5"/>
      <c r="O108" s="5"/>
      <c r="P108" s="5"/>
      <c r="R108" s="243"/>
      <c r="S108" s="243"/>
      <c r="T108" s="243"/>
    </row>
  </sheetData>
  <mergeCells count="28">
    <mergeCell ref="A25:A28"/>
    <mergeCell ref="B25:B28"/>
    <mergeCell ref="A29:A31"/>
    <mergeCell ref="B29:B31"/>
    <mergeCell ref="A32:A34"/>
    <mergeCell ref="B32:B33"/>
    <mergeCell ref="A15:A16"/>
    <mergeCell ref="B15:B16"/>
    <mergeCell ref="A17:A19"/>
    <mergeCell ref="B17:B19"/>
    <mergeCell ref="A20:A24"/>
    <mergeCell ref="B20:B24"/>
    <mergeCell ref="V1:X1"/>
    <mergeCell ref="Y1:AA1"/>
    <mergeCell ref="AB1:AD1"/>
    <mergeCell ref="AE1:AG1"/>
    <mergeCell ref="AI1:AK1"/>
    <mergeCell ref="A3:A14"/>
    <mergeCell ref="B3:B5"/>
    <mergeCell ref="B6:B8"/>
    <mergeCell ref="B9:B11"/>
    <mergeCell ref="B12:B13"/>
    <mergeCell ref="R1:T1"/>
    <mergeCell ref="A1:A2"/>
    <mergeCell ref="E1:G1"/>
    <mergeCell ref="H1:J1"/>
    <mergeCell ref="K1:M1"/>
    <mergeCell ref="N1:P1"/>
  </mergeCells>
  <conditionalFormatting sqref="T3:T5 T14:T34">
    <cfRule type="iconSet" priority="14">
      <iconSet>
        <cfvo type="percent" val="0"/>
        <cfvo type="percent" val="33"/>
        <cfvo type="percent" val="67"/>
      </iconSet>
    </cfRule>
  </conditionalFormatting>
  <conditionalFormatting sqref="AK3:AK5 AK15:AK34">
    <cfRule type="iconSet" priority="15">
      <iconSet>
        <cfvo type="percent" val="0"/>
        <cfvo type="percent" val="33"/>
        <cfvo type="percent" val="67"/>
      </iconSet>
    </cfRule>
  </conditionalFormatting>
  <conditionalFormatting sqref="T6:T8">
    <cfRule type="iconSet" priority="13">
      <iconSet>
        <cfvo type="percent" val="0"/>
        <cfvo type="percent" val="33"/>
        <cfvo type="percent" val="67"/>
      </iconSet>
    </cfRule>
  </conditionalFormatting>
  <conditionalFormatting sqref="T9:T11">
    <cfRule type="iconSet" priority="11">
      <iconSet>
        <cfvo type="percent" val="0"/>
        <cfvo type="percent" val="33"/>
        <cfvo type="percent" val="67"/>
      </iconSet>
    </cfRule>
  </conditionalFormatting>
  <conditionalFormatting sqref="AK9:AK11">
    <cfRule type="iconSet" priority="12">
      <iconSet>
        <cfvo type="percent" val="0"/>
        <cfvo type="percent" val="33"/>
        <cfvo type="percent" val="67"/>
      </iconSet>
    </cfRule>
  </conditionalFormatting>
  <conditionalFormatting sqref="T12:T13">
    <cfRule type="iconSet" priority="9">
      <iconSet>
        <cfvo type="percent" val="0"/>
        <cfvo type="percent" val="33"/>
        <cfvo type="percent" val="67"/>
      </iconSet>
    </cfRule>
  </conditionalFormatting>
  <conditionalFormatting sqref="AK13">
    <cfRule type="iconSet" priority="10">
      <iconSet>
        <cfvo type="percent" val="0"/>
        <cfvo type="percent" val="33"/>
        <cfvo type="percent" val="67"/>
      </iconSet>
    </cfRule>
  </conditionalFormatting>
  <conditionalFormatting sqref="T3:T34">
    <cfRule type="iconSet" priority="8">
      <iconSet>
        <cfvo type="percent" val="0"/>
        <cfvo type="percent" val="33"/>
        <cfvo type="percent" val="67"/>
      </iconSet>
    </cfRule>
  </conditionalFormatting>
  <conditionalFormatting sqref="AK6:AK8">
    <cfRule type="iconSet" priority="7">
      <iconSet>
        <cfvo type="percent" val="0"/>
        <cfvo type="percent" val="33"/>
        <cfvo type="percent" val="67"/>
      </iconSet>
    </cfRule>
  </conditionalFormatting>
  <conditionalFormatting sqref="AK12">
    <cfRule type="iconSet" priority="6">
      <iconSet>
        <cfvo type="percent" val="0"/>
        <cfvo type="percent" val="33"/>
        <cfvo type="percent" val="67"/>
      </iconSet>
    </cfRule>
  </conditionalFormatting>
  <conditionalFormatting sqref="T14">
    <cfRule type="iconSet" priority="5">
      <iconSet>
        <cfvo type="percent" val="0"/>
        <cfvo type="percent" val="33"/>
        <cfvo type="percent" val="67"/>
      </iconSet>
    </cfRule>
  </conditionalFormatting>
  <conditionalFormatting sqref="AK14">
    <cfRule type="iconSet" priority="4">
      <iconSet>
        <cfvo type="percent" val="0"/>
        <cfvo type="percent" val="33"/>
        <cfvo type="percent" val="67"/>
      </iconSet>
    </cfRule>
  </conditionalFormatting>
  <conditionalFormatting sqref="AK14">
    <cfRule type="iconSet" priority="3">
      <iconSet>
        <cfvo type="percent" val="0"/>
        <cfvo type="percent" val="33"/>
        <cfvo type="percent" val="67"/>
      </iconSet>
    </cfRule>
  </conditionalFormatting>
  <conditionalFormatting sqref="AK14">
    <cfRule type="iconSet" priority="2">
      <iconSet>
        <cfvo type="percent" val="0"/>
        <cfvo type="percent" val="33"/>
        <cfvo type="percent" val="67"/>
      </iconSet>
    </cfRule>
  </conditionalFormatting>
  <conditionalFormatting sqref="T3:T34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135D-A790-4366-A4A8-7368F78EC7B6}">
  <sheetPr codeName="Лист10"/>
  <dimension ref="A1:AG20"/>
  <sheetViews>
    <sheetView tabSelected="1" workbookViewId="0">
      <selection activeCell="C3" sqref="C3"/>
    </sheetView>
  </sheetViews>
  <sheetFormatPr defaultColWidth="8.88671875" defaultRowHeight="14.4" x14ac:dyDescent="0.3"/>
  <cols>
    <col min="1" max="1" width="5.6640625" style="415" customWidth="1"/>
    <col min="2" max="2" width="11.109375" style="415" customWidth="1"/>
    <col min="3" max="3" width="14.33203125" style="416" customWidth="1"/>
    <col min="4" max="13" width="8.88671875" style="415"/>
    <col min="14" max="14" width="11.5546875" style="415" customWidth="1"/>
    <col min="15" max="15" width="8.88671875" style="415"/>
    <col min="16" max="16" width="10.109375" style="415" customWidth="1"/>
    <col min="17" max="17" width="10.6640625" style="415" customWidth="1"/>
    <col min="18" max="18" width="10.44140625" style="415" customWidth="1"/>
    <col min="19" max="19" width="10.5546875" style="415" customWidth="1"/>
    <col min="20" max="22" width="8.88671875" style="415"/>
    <col min="23" max="23" width="10.5546875" style="415" customWidth="1"/>
    <col min="24" max="24" width="9.33203125" style="415" customWidth="1"/>
    <col min="25" max="32" width="8.88671875" style="415"/>
    <col min="33" max="33" width="12.6640625" style="415" bestFit="1" customWidth="1"/>
    <col min="34" max="16384" width="8.88671875" style="415"/>
  </cols>
  <sheetData>
    <row r="1" spans="1:33" x14ac:dyDescent="0.3">
      <c r="A1" s="579"/>
      <c r="B1" s="579"/>
      <c r="C1" s="578" t="s">
        <v>6</v>
      </c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 t="s">
        <v>316</v>
      </c>
      <c r="O1" s="578"/>
      <c r="P1" s="578" t="s">
        <v>317</v>
      </c>
      <c r="Q1" s="578"/>
      <c r="R1" s="578"/>
      <c r="S1" s="578" t="s">
        <v>318</v>
      </c>
      <c r="T1" s="578"/>
      <c r="U1" s="578"/>
      <c r="V1" s="578"/>
      <c r="W1" s="578"/>
      <c r="X1" s="578" t="s">
        <v>319</v>
      </c>
      <c r="Y1" s="578"/>
      <c r="Z1" s="578"/>
      <c r="AA1" s="578"/>
      <c r="AB1" s="577" t="s">
        <v>320</v>
      </c>
      <c r="AC1" s="577"/>
      <c r="AD1" s="577"/>
      <c r="AE1" s="577" t="s">
        <v>272</v>
      </c>
      <c r="AF1" s="577"/>
      <c r="AG1" s="577"/>
    </row>
    <row r="2" spans="1:33" x14ac:dyDescent="0.3">
      <c r="A2" s="418"/>
      <c r="B2" s="419" t="s">
        <v>312</v>
      </c>
      <c r="C2" s="577" t="s">
        <v>7</v>
      </c>
      <c r="D2" s="577"/>
      <c r="E2" s="577"/>
      <c r="F2" s="577" t="s">
        <v>11</v>
      </c>
      <c r="G2" s="577"/>
      <c r="H2" s="577"/>
      <c r="I2" s="577" t="s">
        <v>15</v>
      </c>
      <c r="J2" s="577"/>
      <c r="K2" s="577" t="s">
        <v>19</v>
      </c>
      <c r="L2" s="577"/>
      <c r="M2" s="418" t="s">
        <v>23</v>
      </c>
      <c r="N2" s="577" t="s">
        <v>93</v>
      </c>
      <c r="O2" s="577"/>
      <c r="P2" s="577" t="s">
        <v>100</v>
      </c>
      <c r="Q2" s="577"/>
      <c r="R2" s="577"/>
      <c r="S2" s="577" t="s">
        <v>113</v>
      </c>
      <c r="T2" s="577"/>
      <c r="U2" s="577"/>
      <c r="V2" s="577"/>
      <c r="W2" s="577"/>
      <c r="X2" s="577" t="s">
        <v>146</v>
      </c>
      <c r="Y2" s="577"/>
      <c r="Z2" s="577"/>
      <c r="AA2" s="577"/>
      <c r="AB2" s="577" t="s">
        <v>172</v>
      </c>
      <c r="AC2" s="577"/>
      <c r="AD2" s="577"/>
      <c r="AE2" s="577" t="s">
        <v>273</v>
      </c>
      <c r="AF2" s="577"/>
      <c r="AG2" s="418" t="s">
        <v>275</v>
      </c>
    </row>
    <row r="3" spans="1:33" x14ac:dyDescent="0.3">
      <c r="A3" s="420" t="s">
        <v>328</v>
      </c>
      <c r="B3" s="421" t="s">
        <v>1</v>
      </c>
      <c r="C3" s="416" t="s">
        <v>8</v>
      </c>
      <c r="D3" s="420" t="s">
        <v>9</v>
      </c>
      <c r="E3" s="420" t="s">
        <v>10</v>
      </c>
      <c r="F3" s="420" t="s">
        <v>12</v>
      </c>
      <c r="G3" s="420" t="s">
        <v>13</v>
      </c>
      <c r="H3" s="420" t="s">
        <v>14</v>
      </c>
      <c r="I3" s="420" t="s">
        <v>16</v>
      </c>
      <c r="J3" s="420" t="s">
        <v>17</v>
      </c>
      <c r="K3" s="420" t="s">
        <v>20</v>
      </c>
      <c r="L3" s="420" t="s">
        <v>21</v>
      </c>
      <c r="M3" s="420" t="s">
        <v>24</v>
      </c>
      <c r="N3" s="420" t="s">
        <v>94</v>
      </c>
      <c r="O3" s="420" t="s">
        <v>95</v>
      </c>
      <c r="P3" s="418" t="s">
        <v>101</v>
      </c>
      <c r="Q3" s="418" t="s">
        <v>102</v>
      </c>
      <c r="R3" s="418" t="s">
        <v>103</v>
      </c>
      <c r="S3" s="418" t="s">
        <v>114</v>
      </c>
      <c r="T3" s="418" t="s">
        <v>115</v>
      </c>
      <c r="U3" s="418" t="s">
        <v>116</v>
      </c>
      <c r="V3" s="418" t="s">
        <v>117</v>
      </c>
      <c r="W3" s="418" t="s">
        <v>118</v>
      </c>
      <c r="X3" s="420" t="s">
        <v>147</v>
      </c>
      <c r="Y3" s="420" t="s">
        <v>148</v>
      </c>
      <c r="Z3" s="420" t="s">
        <v>149</v>
      </c>
      <c r="AA3" s="420" t="s">
        <v>150</v>
      </c>
      <c r="AB3" s="420" t="s">
        <v>173</v>
      </c>
      <c r="AC3" s="420" t="s">
        <v>174</v>
      </c>
      <c r="AD3" s="420" t="s">
        <v>175</v>
      </c>
      <c r="AE3" s="420" t="s">
        <v>274</v>
      </c>
      <c r="AF3" s="420" t="s">
        <v>322</v>
      </c>
      <c r="AG3" s="420" t="s">
        <v>323</v>
      </c>
    </row>
    <row r="4" spans="1:33" x14ac:dyDescent="0.3">
      <c r="A4" s="418" t="s">
        <v>0</v>
      </c>
      <c r="B4" s="419" t="s">
        <v>2</v>
      </c>
      <c r="C4" s="422">
        <v>1165000</v>
      </c>
      <c r="D4" s="419">
        <v>5087</v>
      </c>
      <c r="E4" s="419">
        <v>0.6</v>
      </c>
      <c r="F4" s="419">
        <v>0.98</v>
      </c>
      <c r="G4" s="419">
        <v>0.98</v>
      </c>
      <c r="H4" s="423">
        <v>0.98</v>
      </c>
      <c r="I4" s="419">
        <v>0.95</v>
      </c>
      <c r="J4" s="419">
        <v>0.95</v>
      </c>
      <c r="K4" s="419">
        <v>0.7</v>
      </c>
      <c r="L4" s="419"/>
      <c r="M4" s="419">
        <v>0.7</v>
      </c>
      <c r="N4" s="419">
        <v>130000</v>
      </c>
      <c r="O4" s="419">
        <v>3.2000000000000001E-2</v>
      </c>
      <c r="P4" s="419">
        <v>244000</v>
      </c>
      <c r="Q4" s="419">
        <v>60000</v>
      </c>
      <c r="R4" s="419">
        <v>15500</v>
      </c>
      <c r="S4" s="419">
        <v>12000</v>
      </c>
      <c r="T4" s="419">
        <v>0.73</v>
      </c>
      <c r="U4" s="419">
        <v>8000</v>
      </c>
      <c r="V4" s="419">
        <v>0.4</v>
      </c>
      <c r="W4" s="419">
        <v>65000</v>
      </c>
      <c r="X4" s="424">
        <v>2700</v>
      </c>
      <c r="Y4" s="419">
        <v>0.73</v>
      </c>
      <c r="Z4" s="419">
        <v>0.4</v>
      </c>
      <c r="AA4" s="419">
        <v>9000</v>
      </c>
      <c r="AB4" s="419">
        <v>0.99</v>
      </c>
      <c r="AC4" s="419">
        <v>0.99</v>
      </c>
      <c r="AD4" s="419">
        <v>5</v>
      </c>
      <c r="AE4" s="419">
        <v>0.995</v>
      </c>
      <c r="AF4" s="419"/>
      <c r="AG4" s="419">
        <v>0.995</v>
      </c>
    </row>
    <row r="5" spans="1:33" x14ac:dyDescent="0.3">
      <c r="A5" s="421">
        <v>27</v>
      </c>
      <c r="B5" s="421" t="s">
        <v>3</v>
      </c>
      <c r="C5" s="416">
        <v>367500</v>
      </c>
      <c r="D5" s="420">
        <v>4978</v>
      </c>
      <c r="E5" s="420">
        <v>0.6</v>
      </c>
      <c r="F5" s="420">
        <v>0.98</v>
      </c>
      <c r="G5" s="420">
        <v>0.98</v>
      </c>
      <c r="H5" s="425">
        <v>0.98</v>
      </c>
      <c r="I5" s="420">
        <f>$I$4</f>
        <v>0.95</v>
      </c>
      <c r="J5" s="420">
        <f>$J$4</f>
        <v>0.95</v>
      </c>
      <c r="K5" s="420">
        <v>0.7</v>
      </c>
      <c r="L5" s="420"/>
      <c r="M5" s="420"/>
      <c r="N5" s="420">
        <f>ROUNDUP(130000/13,0)</f>
        <v>10000</v>
      </c>
      <c r="O5" s="420">
        <v>3.2000000000000001E-2</v>
      </c>
      <c r="P5" s="420">
        <f>244000/13</f>
        <v>18769.23076923077</v>
      </c>
      <c r="Q5" s="420">
        <f>60000/13</f>
        <v>4615.3846153846152</v>
      </c>
      <c r="R5" s="420">
        <f>ROUNDUP(15500/13,0)</f>
        <v>1193</v>
      </c>
      <c r="S5" s="420">
        <v>2550</v>
      </c>
      <c r="T5" s="420">
        <v>0.63</v>
      </c>
      <c r="U5" s="420">
        <v>1700</v>
      </c>
      <c r="V5" s="420">
        <v>0.28000000000000003</v>
      </c>
      <c r="W5" s="420">
        <f>20000/4</f>
        <v>5000</v>
      </c>
      <c r="X5" s="420"/>
      <c r="Y5" s="420">
        <v>0.63</v>
      </c>
      <c r="Z5" s="420">
        <v>0.28000000000000003</v>
      </c>
      <c r="AA5" s="420"/>
      <c r="AB5" s="420">
        <v>0.99</v>
      </c>
      <c r="AC5" s="420"/>
      <c r="AD5" s="420"/>
      <c r="AE5" s="420">
        <v>0.995</v>
      </c>
      <c r="AF5" s="420"/>
      <c r="AG5" s="420">
        <v>0.995</v>
      </c>
    </row>
    <row r="6" spans="1:33" x14ac:dyDescent="0.3">
      <c r="A6" s="421">
        <v>27</v>
      </c>
      <c r="B6" s="421" t="s">
        <v>4</v>
      </c>
      <c r="C6" s="416">
        <v>344480</v>
      </c>
      <c r="D6" s="420">
        <v>5273</v>
      </c>
      <c r="E6" s="420">
        <v>0.36899999999999999</v>
      </c>
      <c r="F6" s="420">
        <v>0.99199999999999999</v>
      </c>
      <c r="G6" s="420">
        <v>0.99399999999999999</v>
      </c>
      <c r="H6" s="425">
        <v>0.99839999999999995</v>
      </c>
      <c r="I6" s="420">
        <v>0.99</v>
      </c>
      <c r="J6" s="420">
        <v>0.38</v>
      </c>
      <c r="K6" s="420">
        <v>0.45</v>
      </c>
      <c r="L6" s="420"/>
      <c r="M6" s="420"/>
      <c r="N6" s="420">
        <v>9020</v>
      </c>
      <c r="O6" s="420">
        <v>2.9700000000000001E-2</v>
      </c>
      <c r="P6" s="420">
        <v>19200</v>
      </c>
      <c r="Q6" s="420">
        <v>5568</v>
      </c>
      <c r="R6" s="420">
        <v>1293</v>
      </c>
      <c r="S6" s="420">
        <v>2764</v>
      </c>
      <c r="T6" s="420">
        <v>0.47299999999999998</v>
      </c>
      <c r="U6" s="420">
        <v>2073</v>
      </c>
      <c r="V6" s="420">
        <v>0.28499999999999998</v>
      </c>
      <c r="W6" s="420">
        <v>3754</v>
      </c>
      <c r="X6" s="420"/>
      <c r="Y6" s="420">
        <v>0.47299999999999998</v>
      </c>
      <c r="Z6" s="420">
        <v>0.28499999999999998</v>
      </c>
      <c r="AA6" s="420"/>
      <c r="AB6" s="420">
        <v>0.9</v>
      </c>
      <c r="AC6" s="420"/>
      <c r="AD6" s="420"/>
      <c r="AE6" s="420">
        <v>0.99990000000000001</v>
      </c>
      <c r="AF6" s="420"/>
      <c r="AG6" s="420">
        <v>0.99990000000000001</v>
      </c>
    </row>
    <row r="7" spans="1:33" x14ac:dyDescent="0.3">
      <c r="A7" s="421">
        <v>28</v>
      </c>
      <c r="B7" s="421" t="s">
        <v>3</v>
      </c>
      <c r="C7" s="416">
        <v>367500</v>
      </c>
      <c r="D7" s="420">
        <v>4978</v>
      </c>
      <c r="E7" s="420">
        <v>0.6</v>
      </c>
      <c r="F7" s="420">
        <v>0.98</v>
      </c>
      <c r="G7" s="420">
        <v>0.98</v>
      </c>
      <c r="H7" s="425">
        <v>0.98</v>
      </c>
      <c r="I7" s="420">
        <f>$I$4</f>
        <v>0.95</v>
      </c>
      <c r="J7" s="420">
        <f>$J$4</f>
        <v>0.95</v>
      </c>
      <c r="K7" s="420">
        <v>0.7</v>
      </c>
      <c r="L7" s="420"/>
      <c r="M7" s="420"/>
      <c r="N7" s="420">
        <f>ROUNDUP(130000/13,0)</f>
        <v>10000</v>
      </c>
      <c r="O7" s="420">
        <v>3.2000000000000001E-2</v>
      </c>
      <c r="P7" s="420">
        <f>244000/13</f>
        <v>18769.23076923077</v>
      </c>
      <c r="Q7" s="420">
        <f>60000/13</f>
        <v>4615.3846153846152</v>
      </c>
      <c r="R7" s="420">
        <f>ROUNDUP(15500/13,0)</f>
        <v>1193</v>
      </c>
      <c r="S7" s="420">
        <v>2550</v>
      </c>
      <c r="T7" s="420">
        <v>0.63</v>
      </c>
      <c r="U7" s="420">
        <v>1700</v>
      </c>
      <c r="V7" s="420">
        <v>0.28000000000000003</v>
      </c>
      <c r="W7" s="420">
        <f>20000/4</f>
        <v>5000</v>
      </c>
      <c r="X7" s="420"/>
      <c r="Y7" s="420">
        <v>0.63</v>
      </c>
      <c r="Z7" s="420">
        <v>0.28000000000000003</v>
      </c>
      <c r="AA7" s="420"/>
      <c r="AB7" s="420">
        <v>0.99</v>
      </c>
      <c r="AC7" s="420"/>
      <c r="AD7" s="420"/>
      <c r="AE7" s="420">
        <v>0.995</v>
      </c>
      <c r="AF7" s="420"/>
      <c r="AG7" s="420">
        <v>0.995</v>
      </c>
    </row>
    <row r="8" spans="1:33" x14ac:dyDescent="0.3">
      <c r="A8" s="421">
        <v>28</v>
      </c>
      <c r="B8" s="421" t="s">
        <v>4</v>
      </c>
      <c r="C8" s="416">
        <v>345377</v>
      </c>
      <c r="D8" s="420">
        <v>5336</v>
      </c>
      <c r="E8" s="420">
        <v>0.38800000000000001</v>
      </c>
      <c r="F8" s="420">
        <v>0.99</v>
      </c>
      <c r="G8" s="420">
        <v>0.99199999999999999</v>
      </c>
      <c r="H8" s="425">
        <v>0.96540000000000004</v>
      </c>
      <c r="I8" s="420">
        <v>1</v>
      </c>
      <c r="J8" s="420">
        <v>0.75</v>
      </c>
      <c r="K8" s="420">
        <v>0.37</v>
      </c>
      <c r="L8" s="420"/>
      <c r="M8" s="420"/>
      <c r="N8" s="420">
        <v>8098</v>
      </c>
      <c r="O8" s="420">
        <v>2.9700000000000001E-2</v>
      </c>
      <c r="P8" s="420">
        <v>19500</v>
      </c>
      <c r="Q8" s="420">
        <v>6045</v>
      </c>
      <c r="R8" s="420">
        <v>1373</v>
      </c>
      <c r="S8" s="420">
        <v>2695</v>
      </c>
      <c r="T8" s="420">
        <v>0.53700000000000003</v>
      </c>
      <c r="U8" s="420">
        <v>1980</v>
      </c>
      <c r="V8" s="420">
        <v>0.26100000000000001</v>
      </c>
      <c r="W8" s="420">
        <v>3325</v>
      </c>
      <c r="X8" s="420"/>
      <c r="Y8" s="420">
        <v>0.53700000000000003</v>
      </c>
      <c r="Z8" s="420">
        <v>0.26100000000000001</v>
      </c>
      <c r="AA8" s="420"/>
      <c r="AB8" s="420">
        <v>0.98699999999999999</v>
      </c>
      <c r="AC8" s="420"/>
      <c r="AD8" s="420"/>
      <c r="AE8" s="420">
        <v>0.99980000000000002</v>
      </c>
      <c r="AF8" s="420"/>
      <c r="AG8" s="420">
        <v>0.99980000000000002</v>
      </c>
    </row>
    <row r="9" spans="1:33" x14ac:dyDescent="0.3">
      <c r="A9" s="421">
        <v>29</v>
      </c>
      <c r="B9" s="421" t="s">
        <v>3</v>
      </c>
      <c r="C9" s="416">
        <v>367500</v>
      </c>
      <c r="D9" s="420">
        <v>4978</v>
      </c>
      <c r="E9" s="420">
        <v>0.6</v>
      </c>
      <c r="F9" s="420">
        <v>0.98</v>
      </c>
      <c r="G9" s="420">
        <v>0.98</v>
      </c>
      <c r="H9" s="425">
        <v>0.98</v>
      </c>
      <c r="I9" s="420">
        <f>$I$4</f>
        <v>0.95</v>
      </c>
      <c r="J9" s="420">
        <f>$J$4</f>
        <v>0.95</v>
      </c>
      <c r="K9" s="420">
        <v>0.7</v>
      </c>
      <c r="L9" s="420"/>
      <c r="M9" s="420"/>
      <c r="N9" s="420">
        <f>ROUNDUP(130000/13,0)</f>
        <v>10000</v>
      </c>
      <c r="O9" s="420">
        <v>3.2000000000000001E-2</v>
      </c>
      <c r="P9" s="420">
        <f>244000/13</f>
        <v>18769.23076923077</v>
      </c>
      <c r="Q9" s="420">
        <f>60000/13</f>
        <v>4615.3846153846152</v>
      </c>
      <c r="R9" s="420">
        <f>ROUNDUP(15500/13,0)</f>
        <v>1193</v>
      </c>
      <c r="S9" s="420">
        <v>2550</v>
      </c>
      <c r="T9" s="420">
        <v>0.63</v>
      </c>
      <c r="U9" s="420">
        <v>1700</v>
      </c>
      <c r="V9" s="420">
        <v>0.28000000000000003</v>
      </c>
      <c r="W9" s="420">
        <f>20000/4</f>
        <v>5000</v>
      </c>
      <c r="X9" s="420"/>
      <c r="Y9" s="420">
        <v>0.63</v>
      </c>
      <c r="Z9" s="420">
        <v>0.28000000000000003</v>
      </c>
      <c r="AA9" s="420"/>
      <c r="AB9" s="420">
        <v>0.99</v>
      </c>
      <c r="AC9" s="420">
        <v>0.99</v>
      </c>
      <c r="AD9" s="420"/>
      <c r="AE9" s="420">
        <v>0.995</v>
      </c>
      <c r="AF9" s="420"/>
      <c r="AG9" s="420">
        <v>0.995</v>
      </c>
    </row>
    <row r="10" spans="1:33" x14ac:dyDescent="0.3">
      <c r="A10" s="421">
        <v>29</v>
      </c>
      <c r="B10" s="421" t="s">
        <v>4</v>
      </c>
      <c r="C10" s="416">
        <v>340040</v>
      </c>
      <c r="D10" s="420">
        <v>5371.54</v>
      </c>
      <c r="E10" s="420">
        <v>0.39500000000000002</v>
      </c>
      <c r="F10" s="420">
        <v>0.99</v>
      </c>
      <c r="G10" s="420">
        <v>0.99399999999999999</v>
      </c>
      <c r="H10" s="425">
        <v>0.999</v>
      </c>
      <c r="I10" s="420">
        <v>1</v>
      </c>
      <c r="J10" s="420">
        <v>0.62</v>
      </c>
      <c r="K10" s="420">
        <v>0.28999999999999998</v>
      </c>
      <c r="L10" s="420"/>
      <c r="M10" s="420"/>
      <c r="N10" s="420">
        <v>7246</v>
      </c>
      <c r="O10" s="420">
        <v>3.0200000000000001E-2</v>
      </c>
      <c r="P10" s="420">
        <v>13500</v>
      </c>
      <c r="Q10" s="420">
        <v>2025</v>
      </c>
      <c r="R10" s="420">
        <v>1171</v>
      </c>
      <c r="S10" s="420">
        <v>2766</v>
      </c>
      <c r="T10" s="420">
        <v>0.50900000000000001</v>
      </c>
      <c r="U10" s="420">
        <v>2135</v>
      </c>
      <c r="V10" s="420">
        <v>0.30599999999999999</v>
      </c>
      <c r="W10" s="420">
        <v>3355</v>
      </c>
      <c r="X10" s="420"/>
      <c r="Y10" s="420">
        <v>0.50900000000000001</v>
      </c>
      <c r="Z10" s="420">
        <v>0.30599999999999999</v>
      </c>
      <c r="AA10" s="420"/>
      <c r="AB10" s="420">
        <v>0.98399999999999999</v>
      </c>
      <c r="AC10" s="420">
        <v>0.73529999999999995</v>
      </c>
      <c r="AD10" s="420"/>
      <c r="AE10" s="420">
        <v>0.99980000000000002</v>
      </c>
      <c r="AF10" s="420"/>
      <c r="AG10" s="420">
        <v>0.99980000000000002</v>
      </c>
    </row>
    <row r="11" spans="1:33" x14ac:dyDescent="0.3">
      <c r="A11" s="421">
        <v>30</v>
      </c>
      <c r="B11" s="421" t="s">
        <v>3</v>
      </c>
      <c r="C11" s="416">
        <v>367500</v>
      </c>
      <c r="D11" s="420">
        <v>4978</v>
      </c>
      <c r="E11" s="420">
        <v>0.6</v>
      </c>
      <c r="F11" s="420">
        <v>0.98</v>
      </c>
      <c r="G11" s="420">
        <v>0.98</v>
      </c>
      <c r="H11" s="425">
        <v>0.98</v>
      </c>
      <c r="I11" s="420">
        <f>$I$4</f>
        <v>0.95</v>
      </c>
      <c r="J11" s="420">
        <f>$J$4</f>
        <v>0.95</v>
      </c>
      <c r="K11" s="420">
        <v>0.7</v>
      </c>
      <c r="L11" s="420"/>
      <c r="M11" s="420"/>
      <c r="N11" s="420">
        <f>ROUNDUP(130000/13,0)</f>
        <v>10000</v>
      </c>
      <c r="O11" s="420">
        <v>3.2000000000000001E-2</v>
      </c>
      <c r="P11" s="420">
        <f>244000/13</f>
        <v>18769.23076923077</v>
      </c>
      <c r="Q11" s="420">
        <f>60000/13</f>
        <v>4615.3846153846152</v>
      </c>
      <c r="R11" s="420">
        <f>ROUNDUP(15500/13,0)</f>
        <v>1193</v>
      </c>
      <c r="S11" s="420">
        <v>2550</v>
      </c>
      <c r="T11" s="420">
        <v>0.63</v>
      </c>
      <c r="U11" s="420">
        <v>1700</v>
      </c>
      <c r="V11" s="420">
        <v>0.28000000000000003</v>
      </c>
      <c r="W11" s="420">
        <f>20000/4</f>
        <v>5000</v>
      </c>
      <c r="X11" s="420"/>
      <c r="Y11" s="420">
        <v>0.63</v>
      </c>
      <c r="Z11" s="420">
        <v>0.28000000000000003</v>
      </c>
      <c r="AA11" s="420"/>
      <c r="AB11" s="420">
        <v>0.99</v>
      </c>
      <c r="AC11" s="420">
        <v>0.99</v>
      </c>
      <c r="AD11" s="420"/>
      <c r="AE11" s="420">
        <v>0.995</v>
      </c>
      <c r="AF11" s="420"/>
      <c r="AG11" s="420">
        <v>0.995</v>
      </c>
    </row>
    <row r="12" spans="1:33" x14ac:dyDescent="0.3">
      <c r="A12" s="421">
        <v>30</v>
      </c>
      <c r="B12" s="421" t="s">
        <v>4</v>
      </c>
      <c r="C12" s="416">
        <v>351125</v>
      </c>
      <c r="D12" s="420">
        <v>4972</v>
      </c>
      <c r="E12" s="420">
        <v>0.36099999999999999</v>
      </c>
      <c r="F12" s="420">
        <v>0.99199999999999999</v>
      </c>
      <c r="G12" s="420">
        <v>0.99</v>
      </c>
      <c r="H12" s="425">
        <v>0.99870000000000003</v>
      </c>
      <c r="I12" s="420">
        <v>0.99</v>
      </c>
      <c r="J12" s="420">
        <v>0.7</v>
      </c>
      <c r="K12" s="420">
        <v>0.25</v>
      </c>
      <c r="L12" s="420"/>
      <c r="M12" s="420"/>
      <c r="N12" s="420">
        <v>11184</v>
      </c>
      <c r="O12" s="420">
        <v>3.0499999999999999E-2</v>
      </c>
      <c r="P12" s="420">
        <v>5000</v>
      </c>
      <c r="Q12" s="420">
        <v>2000</v>
      </c>
      <c r="R12" s="420">
        <v>128</v>
      </c>
      <c r="S12" s="420">
        <v>2616</v>
      </c>
      <c r="T12" s="420">
        <v>0.50700000000000001</v>
      </c>
      <c r="U12" s="420">
        <v>2271</v>
      </c>
      <c r="V12" s="420">
        <v>0.28499999999999998</v>
      </c>
      <c r="W12" s="420">
        <v>2959</v>
      </c>
      <c r="X12" s="420"/>
      <c r="Y12" s="420">
        <v>0.50700000000000001</v>
      </c>
      <c r="Z12" s="420">
        <v>0.28499999999999998</v>
      </c>
      <c r="AA12" s="420"/>
      <c r="AB12" s="420">
        <v>0.98599999999999999</v>
      </c>
      <c r="AC12" s="420">
        <v>0.66920000000000002</v>
      </c>
      <c r="AD12" s="420"/>
      <c r="AE12" s="420">
        <v>0.99980000000000002</v>
      </c>
      <c r="AF12" s="420"/>
      <c r="AG12" s="420">
        <v>0.99980000000000002</v>
      </c>
    </row>
    <row r="13" spans="1:33" x14ac:dyDescent="0.3">
      <c r="A13" s="421">
        <v>31</v>
      </c>
      <c r="B13" s="421" t="s">
        <v>3</v>
      </c>
      <c r="C13" s="416">
        <v>389500</v>
      </c>
      <c r="D13" s="420">
        <v>5052</v>
      </c>
      <c r="E13" s="420">
        <v>0.6</v>
      </c>
      <c r="F13" s="420">
        <v>0.98</v>
      </c>
      <c r="G13" s="420">
        <v>0.98</v>
      </c>
      <c r="H13" s="420">
        <v>0.98</v>
      </c>
      <c r="I13" s="420">
        <f>$I$4</f>
        <v>0.95</v>
      </c>
      <c r="J13" s="420">
        <f>$J$4</f>
        <v>0.95</v>
      </c>
      <c r="K13" s="420">
        <v>0.7</v>
      </c>
      <c r="L13" s="420"/>
      <c r="M13" s="420">
        <v>0.7</v>
      </c>
      <c r="N13" s="420">
        <f>ROUNDUP(130000/13,0)</f>
        <v>10000</v>
      </c>
      <c r="O13" s="420">
        <v>3.2000000000000001E-2</v>
      </c>
      <c r="P13" s="420">
        <f>244000/13</f>
        <v>18769.23076923077</v>
      </c>
      <c r="Q13" s="420">
        <f>60000/13</f>
        <v>4615.3846153846152</v>
      </c>
      <c r="R13" s="420">
        <f>ROUNDUP(15500/13,0)</f>
        <v>1193</v>
      </c>
      <c r="S13" s="420">
        <v>3000</v>
      </c>
      <c r="T13" s="420">
        <v>0.73</v>
      </c>
      <c r="U13" s="420">
        <v>2000</v>
      </c>
      <c r="V13" s="420">
        <v>0.4</v>
      </c>
      <c r="W13" s="420">
        <f>20000/4</f>
        <v>5000</v>
      </c>
      <c r="X13" s="420"/>
      <c r="Y13" s="420">
        <v>0.73</v>
      </c>
      <c r="Z13" s="420">
        <v>0.4</v>
      </c>
      <c r="AA13" s="420"/>
      <c r="AB13" s="420">
        <v>0.99</v>
      </c>
      <c r="AC13" s="420">
        <v>0.99</v>
      </c>
      <c r="AD13" s="420"/>
      <c r="AE13" s="420">
        <v>0.995</v>
      </c>
      <c r="AF13" s="420"/>
      <c r="AG13" s="420">
        <v>0.995</v>
      </c>
    </row>
    <row r="14" spans="1:33" x14ac:dyDescent="0.3">
      <c r="A14" s="421">
        <v>31</v>
      </c>
      <c r="B14" s="421" t="s">
        <v>4</v>
      </c>
      <c r="C14" s="416">
        <v>373107</v>
      </c>
      <c r="D14" s="420">
        <v>5233</v>
      </c>
      <c r="E14" s="420">
        <v>0.36199999999999999</v>
      </c>
      <c r="F14" s="425">
        <v>0.99250000000000005</v>
      </c>
      <c r="G14" s="425">
        <v>0.98499999999999999</v>
      </c>
      <c r="H14" s="425">
        <v>0.97060000000000002</v>
      </c>
      <c r="I14" s="420">
        <v>0.99</v>
      </c>
      <c r="J14" s="420">
        <v>0.65</v>
      </c>
      <c r="K14" s="425">
        <v>0.49</v>
      </c>
      <c r="L14" s="425"/>
      <c r="M14" s="420">
        <v>0.6895</v>
      </c>
      <c r="N14" s="420">
        <v>9099</v>
      </c>
      <c r="O14" s="420">
        <v>3.1300000000000001E-2</v>
      </c>
      <c r="P14" s="420">
        <v>11700</v>
      </c>
      <c r="Q14" s="420">
        <v>1872</v>
      </c>
      <c r="R14" s="420">
        <v>629</v>
      </c>
      <c r="S14" s="420">
        <v>2386</v>
      </c>
      <c r="T14" s="420">
        <v>0.48599999999999999</v>
      </c>
      <c r="U14" s="420">
        <v>1929</v>
      </c>
      <c r="V14" s="420">
        <v>0.30199999999999999</v>
      </c>
      <c r="W14" s="420">
        <v>2700</v>
      </c>
      <c r="X14" s="420"/>
      <c r="Y14" s="420">
        <v>0.48599999999999999</v>
      </c>
      <c r="Z14" s="420">
        <v>0.30199999999999999</v>
      </c>
      <c r="AA14" s="420"/>
      <c r="AB14" s="420">
        <v>0.96150000000000002</v>
      </c>
      <c r="AC14" s="420">
        <v>0.69230000000000003</v>
      </c>
      <c r="AD14" s="420"/>
      <c r="AE14" s="420">
        <v>0.99860000000000004</v>
      </c>
      <c r="AF14" s="420"/>
      <c r="AG14" s="420">
        <v>0.99860000000000004</v>
      </c>
    </row>
    <row r="15" spans="1:33" x14ac:dyDescent="0.3">
      <c r="A15" s="421">
        <v>32</v>
      </c>
      <c r="B15" s="421" t="s">
        <v>3</v>
      </c>
      <c r="C15" s="416">
        <v>389500</v>
      </c>
      <c r="D15" s="420">
        <v>5052</v>
      </c>
      <c r="E15" s="420">
        <v>0.6</v>
      </c>
      <c r="F15" s="420">
        <v>0.98</v>
      </c>
      <c r="G15" s="420">
        <v>0.98</v>
      </c>
      <c r="H15" s="420">
        <v>0.98</v>
      </c>
      <c r="I15" s="420">
        <f>$I$4</f>
        <v>0.95</v>
      </c>
      <c r="J15" s="420">
        <f>$J$4</f>
        <v>0.95</v>
      </c>
      <c r="K15" s="420">
        <v>0.7</v>
      </c>
      <c r="L15" s="420"/>
      <c r="M15" s="420">
        <v>0.7</v>
      </c>
      <c r="N15" s="420">
        <f>ROUNDUP(130000/13,0)</f>
        <v>10000</v>
      </c>
      <c r="O15" s="420">
        <v>3.2000000000000001E-2</v>
      </c>
      <c r="P15" s="420">
        <f>244000/13</f>
        <v>18769.23076923077</v>
      </c>
      <c r="Q15" s="420">
        <f>60000/13</f>
        <v>4615.3846153846152</v>
      </c>
      <c r="R15" s="420">
        <f>ROUNDUP(15500/13,0)</f>
        <v>1193</v>
      </c>
      <c r="S15" s="420">
        <v>3000</v>
      </c>
      <c r="T15" s="420">
        <v>0.73</v>
      </c>
      <c r="U15" s="420">
        <v>2000</v>
      </c>
      <c r="V15" s="420">
        <v>0.4</v>
      </c>
      <c r="W15" s="420">
        <f>20000/4</f>
        <v>5000</v>
      </c>
      <c r="X15" s="420"/>
      <c r="Y15" s="420">
        <v>0.73</v>
      </c>
      <c r="Z15" s="420">
        <v>0.4</v>
      </c>
      <c r="AA15" s="420"/>
      <c r="AB15" s="420">
        <v>0.99</v>
      </c>
      <c r="AC15" s="420">
        <v>0.99</v>
      </c>
      <c r="AD15" s="420"/>
      <c r="AE15" s="420">
        <v>0.995</v>
      </c>
      <c r="AF15" s="420"/>
      <c r="AG15" s="420">
        <v>0.995</v>
      </c>
    </row>
    <row r="16" spans="1:33" x14ac:dyDescent="0.3">
      <c r="A16" s="421">
        <v>32</v>
      </c>
      <c r="B16" s="421" t="s">
        <v>4</v>
      </c>
      <c r="C16" s="416">
        <v>373107</v>
      </c>
      <c r="D16" s="420">
        <v>5271</v>
      </c>
      <c r="E16" s="420">
        <v>0.371</v>
      </c>
      <c r="F16" s="420">
        <v>0.996</v>
      </c>
      <c r="G16" s="420">
        <v>0.99199999999999999</v>
      </c>
      <c r="H16" s="420">
        <v>0.99929999999999997</v>
      </c>
      <c r="I16" s="420">
        <v>0.99</v>
      </c>
      <c r="J16" s="420">
        <v>0.95</v>
      </c>
      <c r="K16" s="420">
        <v>0.45</v>
      </c>
      <c r="L16" s="420"/>
      <c r="M16" s="420">
        <v>0.6895</v>
      </c>
      <c r="N16" s="420">
        <v>8608</v>
      </c>
      <c r="O16" s="420">
        <v>3.3000000000000002E-2</v>
      </c>
      <c r="P16" s="420">
        <v>5900</v>
      </c>
      <c r="Q16" s="420">
        <v>1880</v>
      </c>
      <c r="R16" s="420">
        <v>221</v>
      </c>
      <c r="S16" s="420">
        <v>2382</v>
      </c>
      <c r="T16" s="420">
        <v>0.49199999999999999</v>
      </c>
      <c r="U16" s="420">
        <v>1787</v>
      </c>
      <c r="V16" s="420">
        <v>0.29699999999999999</v>
      </c>
      <c r="W16" s="420">
        <v>3040</v>
      </c>
      <c r="X16" s="420"/>
      <c r="Y16" s="420">
        <v>0.49199999999999999</v>
      </c>
      <c r="Z16" s="420">
        <v>0.29699999999999999</v>
      </c>
      <c r="AA16" s="420"/>
      <c r="AB16" s="420">
        <v>0.98</v>
      </c>
      <c r="AC16" s="420">
        <v>0.81</v>
      </c>
      <c r="AD16" s="420"/>
      <c r="AE16" s="420">
        <v>0.998</v>
      </c>
      <c r="AF16" s="420"/>
      <c r="AG16" s="420">
        <v>0.998</v>
      </c>
    </row>
    <row r="17" spans="1:33" x14ac:dyDescent="0.3">
      <c r="A17" s="421">
        <v>33</v>
      </c>
      <c r="B17" s="421" t="s">
        <v>3</v>
      </c>
      <c r="C17" s="416">
        <v>389500</v>
      </c>
      <c r="D17" s="420">
        <v>5052</v>
      </c>
      <c r="E17" s="420">
        <v>0.6</v>
      </c>
      <c r="F17" s="420">
        <v>0.98</v>
      </c>
      <c r="G17" s="420">
        <v>0.98</v>
      </c>
      <c r="H17" s="420">
        <v>0.98</v>
      </c>
      <c r="I17" s="420">
        <f>$I$4</f>
        <v>0.95</v>
      </c>
      <c r="J17" s="420">
        <f>$J$4</f>
        <v>0.95</v>
      </c>
      <c r="K17" s="420">
        <v>0.7</v>
      </c>
      <c r="L17" s="420"/>
      <c r="M17" s="420">
        <v>0.7</v>
      </c>
      <c r="N17" s="420">
        <f>ROUNDUP(130000/13,0)</f>
        <v>10000</v>
      </c>
      <c r="O17" s="420">
        <v>3.2000000000000001E-2</v>
      </c>
      <c r="P17" s="420">
        <f>244000/13</f>
        <v>18769.23076923077</v>
      </c>
      <c r="Q17" s="420">
        <f>60000/13</f>
        <v>4615.3846153846152</v>
      </c>
      <c r="R17" s="420">
        <f>ROUNDUP(15500/13,0)</f>
        <v>1193</v>
      </c>
      <c r="S17" s="420">
        <v>3000</v>
      </c>
      <c r="T17" s="420">
        <v>0.73</v>
      </c>
      <c r="U17" s="420">
        <v>2000</v>
      </c>
      <c r="V17" s="420">
        <v>0.4</v>
      </c>
      <c r="W17" s="420">
        <f>20000/4</f>
        <v>5000</v>
      </c>
      <c r="X17" s="420"/>
      <c r="Y17" s="420">
        <v>0.73</v>
      </c>
      <c r="Z17" s="420">
        <v>0.4</v>
      </c>
      <c r="AA17" s="420"/>
      <c r="AB17" s="420">
        <v>0.99</v>
      </c>
      <c r="AC17" s="420">
        <v>0.99</v>
      </c>
      <c r="AD17" s="420"/>
      <c r="AE17" s="420">
        <v>0.995</v>
      </c>
      <c r="AF17" s="420"/>
      <c r="AG17" s="420">
        <v>0.995</v>
      </c>
    </row>
    <row r="18" spans="1:33" x14ac:dyDescent="0.3">
      <c r="A18" s="421">
        <v>33</v>
      </c>
      <c r="B18" s="421" t="s">
        <v>4</v>
      </c>
      <c r="C18" s="416">
        <v>370928</v>
      </c>
      <c r="D18" s="420">
        <v>5301</v>
      </c>
      <c r="E18" s="420">
        <v>0.39400000000000002</v>
      </c>
      <c r="F18" s="420">
        <v>0.99739999999999995</v>
      </c>
      <c r="G18" s="420">
        <v>0.99250000000000005</v>
      </c>
      <c r="H18" s="420">
        <v>0.998</v>
      </c>
      <c r="I18" s="420"/>
      <c r="J18" s="420"/>
      <c r="K18" s="420">
        <v>0.41</v>
      </c>
      <c r="L18" s="420"/>
      <c r="M18" s="420">
        <v>0.69399999999999995</v>
      </c>
      <c r="N18" s="420">
        <v>8675</v>
      </c>
      <c r="O18" s="420">
        <v>3.5099999999999999E-2</v>
      </c>
      <c r="P18" s="420">
        <v>8966</v>
      </c>
      <c r="Q18" s="420">
        <v>1925</v>
      </c>
      <c r="R18" s="420">
        <v>145</v>
      </c>
      <c r="S18" s="420">
        <v>2235</v>
      </c>
      <c r="T18" s="420">
        <v>0.502</v>
      </c>
      <c r="U18" s="420">
        <v>1803</v>
      </c>
      <c r="V18" s="420">
        <v>0.32</v>
      </c>
      <c r="W18" s="420">
        <v>3015</v>
      </c>
      <c r="X18" s="420"/>
      <c r="Y18" s="420">
        <v>0.502</v>
      </c>
      <c r="Z18" s="420">
        <v>0.32</v>
      </c>
      <c r="AA18" s="420"/>
      <c r="AB18" s="420">
        <v>0.98870000000000002</v>
      </c>
      <c r="AC18" s="420">
        <v>0.86080000000000001</v>
      </c>
      <c r="AD18" s="420"/>
      <c r="AE18" s="420">
        <v>0.998</v>
      </c>
      <c r="AF18" s="420"/>
      <c r="AG18" s="420">
        <v>0.998</v>
      </c>
    </row>
    <row r="19" spans="1:33" x14ac:dyDescent="0.3">
      <c r="A19" s="421">
        <v>34</v>
      </c>
      <c r="B19" s="421" t="s">
        <v>3</v>
      </c>
      <c r="C19" s="416">
        <v>389500</v>
      </c>
      <c r="D19" s="420">
        <v>5052</v>
      </c>
      <c r="E19" s="420">
        <v>0.6</v>
      </c>
      <c r="F19" s="420">
        <v>0.98</v>
      </c>
      <c r="G19" s="420">
        <v>0.98</v>
      </c>
      <c r="H19" s="420">
        <v>0.98</v>
      </c>
      <c r="I19" s="420">
        <f>$I$4</f>
        <v>0.95</v>
      </c>
      <c r="J19" s="420">
        <f>$J$4</f>
        <v>0.95</v>
      </c>
      <c r="K19" s="420">
        <v>0.7</v>
      </c>
      <c r="L19" s="420"/>
      <c r="M19" s="420">
        <v>0.7</v>
      </c>
      <c r="N19" s="420">
        <f>ROUNDUP(130000/13,0)</f>
        <v>10000</v>
      </c>
      <c r="O19" s="420">
        <v>3.2000000000000001E-2</v>
      </c>
      <c r="P19" s="420">
        <f>244000/13</f>
        <v>18769.23076923077</v>
      </c>
      <c r="Q19" s="420">
        <f>60000/13</f>
        <v>4615.3846153846152</v>
      </c>
      <c r="R19" s="420">
        <f>ROUNDUP(15500/13,0)</f>
        <v>1193</v>
      </c>
      <c r="S19" s="420">
        <v>3000</v>
      </c>
      <c r="T19" s="420">
        <v>0.73</v>
      </c>
      <c r="U19" s="420">
        <v>2000</v>
      </c>
      <c r="V19" s="420">
        <v>0.4</v>
      </c>
      <c r="W19" s="420">
        <f>20000/4</f>
        <v>5000</v>
      </c>
      <c r="X19" s="420"/>
      <c r="Y19" s="420">
        <v>0.73</v>
      </c>
      <c r="Z19" s="420">
        <v>0.4</v>
      </c>
      <c r="AA19" s="420"/>
      <c r="AB19" s="420">
        <v>0.99</v>
      </c>
      <c r="AC19" s="420">
        <v>0.99</v>
      </c>
      <c r="AD19" s="420"/>
      <c r="AE19" s="420">
        <v>0.995</v>
      </c>
      <c r="AF19" s="420"/>
      <c r="AG19" s="420">
        <v>0.995</v>
      </c>
    </row>
    <row r="20" spans="1:33" x14ac:dyDescent="0.3">
      <c r="A20" s="421">
        <v>34</v>
      </c>
      <c r="B20" s="421" t="s">
        <v>4</v>
      </c>
      <c r="D20" s="420"/>
      <c r="E20" s="420"/>
      <c r="F20" s="420"/>
      <c r="G20" s="420"/>
      <c r="H20" s="420"/>
      <c r="I20" s="420"/>
      <c r="J20" s="420"/>
      <c r="K20" s="420"/>
      <c r="L20" s="420"/>
      <c r="M20" s="420"/>
      <c r="N20" s="420"/>
      <c r="O20" s="420"/>
      <c r="P20" s="420"/>
      <c r="Q20" s="420"/>
      <c r="R20" s="420"/>
      <c r="S20" s="420"/>
      <c r="T20" s="420"/>
      <c r="U20" s="420"/>
      <c r="V20" s="420"/>
      <c r="W20" s="420"/>
      <c r="X20" s="420"/>
      <c r="Y20" s="420"/>
      <c r="Z20" s="420"/>
      <c r="AA20" s="420"/>
      <c r="AB20" s="420"/>
      <c r="AC20" s="420"/>
      <c r="AD20" s="420"/>
      <c r="AE20" s="420"/>
      <c r="AF20" s="420"/>
      <c r="AG20" s="420"/>
    </row>
  </sheetData>
  <mergeCells count="18">
    <mergeCell ref="A1:B1"/>
    <mergeCell ref="C1:M1"/>
    <mergeCell ref="N1:O1"/>
    <mergeCell ref="P1:R1"/>
    <mergeCell ref="S1:W1"/>
    <mergeCell ref="AB2:AD2"/>
    <mergeCell ref="AE2:AF2"/>
    <mergeCell ref="AB1:AD1"/>
    <mergeCell ref="AE1:AG1"/>
    <mergeCell ref="C2:E2"/>
    <mergeCell ref="F2:H2"/>
    <mergeCell ref="I2:J2"/>
    <mergeCell ref="K2:L2"/>
    <mergeCell ref="N2:O2"/>
    <mergeCell ref="P2:R2"/>
    <mergeCell ref="S2:W2"/>
    <mergeCell ref="X2:AA2"/>
    <mergeCell ref="X1:AA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35725-E95E-4F97-8EBB-513DD9E8EF14}">
  <sheetPr codeName="Лист13"/>
  <dimension ref="A1:M66"/>
  <sheetViews>
    <sheetView workbookViewId="0">
      <pane ySplit="1" topLeftCell="A2" activePane="bottomLeft" state="frozen"/>
      <selection pane="bottomLeft" activeCell="A22" sqref="A22"/>
    </sheetView>
  </sheetViews>
  <sheetFormatPr defaultRowHeight="14.4" x14ac:dyDescent="0.3"/>
  <cols>
    <col min="1" max="1" width="27.6640625" customWidth="1"/>
    <col min="2" max="2" width="13.6640625" bestFit="1" customWidth="1"/>
    <col min="3" max="3" width="12.6640625" bestFit="1" customWidth="1"/>
    <col min="4" max="4" width="11.88671875" customWidth="1"/>
    <col min="5" max="5" width="14.33203125" bestFit="1" customWidth="1"/>
    <col min="6" max="6" width="27.88671875" customWidth="1"/>
    <col min="7" max="7" width="14.77734375" bestFit="1" customWidth="1"/>
    <col min="8" max="8" width="10.109375" style="417" bestFit="1" customWidth="1"/>
    <col min="9" max="9" width="13.109375" bestFit="1" customWidth="1"/>
    <col min="10" max="10" width="15.44140625" bestFit="1" customWidth="1"/>
    <col min="11" max="11" width="20" bestFit="1" customWidth="1"/>
  </cols>
  <sheetData>
    <row r="1" spans="1:11" x14ac:dyDescent="0.3">
      <c r="A1" t="s">
        <v>329</v>
      </c>
      <c r="B1" t="s">
        <v>330</v>
      </c>
      <c r="C1" t="s">
        <v>332</v>
      </c>
      <c r="D1" t="s">
        <v>333</v>
      </c>
      <c r="E1" t="s">
        <v>27</v>
      </c>
      <c r="F1" t="s">
        <v>334</v>
      </c>
      <c r="G1" t="s">
        <v>29</v>
      </c>
      <c r="H1" s="417" t="s">
        <v>26</v>
      </c>
      <c r="I1" t="s">
        <v>30</v>
      </c>
      <c r="J1" t="s">
        <v>339</v>
      </c>
      <c r="K1" t="s">
        <v>331</v>
      </c>
    </row>
    <row r="2" spans="1:11" x14ac:dyDescent="0.3">
      <c r="A2" t="s">
        <v>341</v>
      </c>
      <c r="B2" s="417">
        <v>43654</v>
      </c>
      <c r="C2" t="s">
        <v>6</v>
      </c>
      <c r="D2" t="s">
        <v>340</v>
      </c>
      <c r="E2" t="s">
        <v>7</v>
      </c>
      <c r="F2" t="s">
        <v>31</v>
      </c>
      <c r="G2" t="s">
        <v>32</v>
      </c>
      <c r="H2" s="417">
        <v>43738</v>
      </c>
      <c r="J2" s="417">
        <f t="shared" ref="J2:J33" si="0">B2+(1-WEEKDAY(B2,2))</f>
        <v>43654</v>
      </c>
      <c r="K2">
        <f t="shared" ref="K2:K33" si="1">WEEKNUM(B2+2)</f>
        <v>28</v>
      </c>
    </row>
    <row r="3" spans="1:11" x14ac:dyDescent="0.3">
      <c r="A3" t="s">
        <v>342</v>
      </c>
      <c r="B3" s="417">
        <v>43654</v>
      </c>
      <c r="C3" t="s">
        <v>6</v>
      </c>
      <c r="D3" t="s">
        <v>340</v>
      </c>
      <c r="E3" t="s">
        <v>15</v>
      </c>
      <c r="F3" t="s">
        <v>33</v>
      </c>
      <c r="G3" t="s">
        <v>32</v>
      </c>
      <c r="H3" s="417">
        <v>43707</v>
      </c>
      <c r="J3" s="417">
        <f t="shared" si="0"/>
        <v>43654</v>
      </c>
      <c r="K3">
        <f t="shared" si="1"/>
        <v>28</v>
      </c>
    </row>
    <row r="4" spans="1:11" x14ac:dyDescent="0.3">
      <c r="A4" t="s">
        <v>343</v>
      </c>
      <c r="B4" s="417">
        <v>43654</v>
      </c>
      <c r="C4" t="s">
        <v>6</v>
      </c>
      <c r="D4" t="s">
        <v>340</v>
      </c>
      <c r="E4" t="s">
        <v>15</v>
      </c>
      <c r="F4" t="s">
        <v>34</v>
      </c>
      <c r="G4" t="s">
        <v>32</v>
      </c>
      <c r="H4" s="417">
        <v>43707</v>
      </c>
      <c r="J4" s="417">
        <f t="shared" si="0"/>
        <v>43654</v>
      </c>
      <c r="K4">
        <f t="shared" si="1"/>
        <v>28</v>
      </c>
    </row>
    <row r="5" spans="1:11" x14ac:dyDescent="0.3">
      <c r="A5" t="s">
        <v>344</v>
      </c>
      <c r="B5" s="417">
        <v>43654</v>
      </c>
      <c r="C5" t="s">
        <v>6</v>
      </c>
      <c r="D5" t="s">
        <v>340</v>
      </c>
      <c r="E5" t="s">
        <v>19</v>
      </c>
      <c r="F5" t="s">
        <v>35</v>
      </c>
      <c r="G5" t="s">
        <v>32</v>
      </c>
      <c r="H5" s="417">
        <v>43707</v>
      </c>
      <c r="J5" s="417">
        <f t="shared" si="0"/>
        <v>43654</v>
      </c>
      <c r="K5">
        <f t="shared" si="1"/>
        <v>28</v>
      </c>
    </row>
    <row r="6" spans="1:11" x14ac:dyDescent="0.3">
      <c r="A6" t="s">
        <v>345</v>
      </c>
      <c r="B6" s="417">
        <v>43654</v>
      </c>
      <c r="C6" t="s">
        <v>6</v>
      </c>
      <c r="D6" t="s">
        <v>340</v>
      </c>
      <c r="E6" t="s">
        <v>19</v>
      </c>
      <c r="F6" t="s">
        <v>36</v>
      </c>
      <c r="G6" t="s">
        <v>32</v>
      </c>
      <c r="H6" s="417">
        <v>43738</v>
      </c>
      <c r="J6" s="417">
        <f t="shared" si="0"/>
        <v>43654</v>
      </c>
      <c r="K6">
        <f t="shared" si="1"/>
        <v>28</v>
      </c>
    </row>
    <row r="7" spans="1:11" x14ac:dyDescent="0.3">
      <c r="A7" t="s">
        <v>346</v>
      </c>
      <c r="B7" s="417">
        <v>43654</v>
      </c>
      <c r="C7" t="s">
        <v>6</v>
      </c>
      <c r="D7" t="s">
        <v>340</v>
      </c>
      <c r="E7" t="s">
        <v>11</v>
      </c>
      <c r="F7" t="s">
        <v>37</v>
      </c>
      <c r="G7" t="s">
        <v>32</v>
      </c>
      <c r="H7" s="417">
        <v>43738</v>
      </c>
      <c r="J7" s="417">
        <f t="shared" si="0"/>
        <v>43654</v>
      </c>
      <c r="K7">
        <f t="shared" si="1"/>
        <v>28</v>
      </c>
    </row>
    <row r="8" spans="1:11" x14ac:dyDescent="0.3">
      <c r="A8" t="s">
        <v>347</v>
      </c>
      <c r="B8" s="417">
        <v>43654</v>
      </c>
      <c r="C8" t="s">
        <v>6</v>
      </c>
      <c r="D8" t="s">
        <v>340</v>
      </c>
      <c r="E8" t="s">
        <v>11</v>
      </c>
      <c r="F8" t="s">
        <v>38</v>
      </c>
      <c r="G8" t="s">
        <v>32</v>
      </c>
      <c r="H8" s="417">
        <v>43738</v>
      </c>
      <c r="J8" s="417">
        <f t="shared" si="0"/>
        <v>43654</v>
      </c>
      <c r="K8">
        <f t="shared" si="1"/>
        <v>28</v>
      </c>
    </row>
    <row r="9" spans="1:11" x14ac:dyDescent="0.3">
      <c r="A9" t="s">
        <v>348</v>
      </c>
      <c r="B9" s="417">
        <v>43654</v>
      </c>
      <c r="C9" t="s">
        <v>6</v>
      </c>
      <c r="D9" t="s">
        <v>340</v>
      </c>
      <c r="E9" t="s">
        <v>23</v>
      </c>
      <c r="F9" t="s">
        <v>39</v>
      </c>
      <c r="G9" t="s">
        <v>32</v>
      </c>
      <c r="H9" s="417">
        <v>43738</v>
      </c>
      <c r="J9" s="417">
        <f t="shared" si="0"/>
        <v>43654</v>
      </c>
      <c r="K9">
        <f t="shared" si="1"/>
        <v>28</v>
      </c>
    </row>
    <row r="10" spans="1:11" x14ac:dyDescent="0.3">
      <c r="A10" t="s">
        <v>349</v>
      </c>
      <c r="B10" s="417">
        <v>43654</v>
      </c>
      <c r="C10" t="s">
        <v>6</v>
      </c>
      <c r="D10" t="s">
        <v>340</v>
      </c>
      <c r="E10" t="s">
        <v>23</v>
      </c>
      <c r="F10" t="s">
        <v>40</v>
      </c>
      <c r="G10" t="s">
        <v>32</v>
      </c>
      <c r="H10" s="417">
        <v>43738</v>
      </c>
      <c r="J10" s="417">
        <f t="shared" si="0"/>
        <v>43654</v>
      </c>
      <c r="K10">
        <f t="shared" si="1"/>
        <v>28</v>
      </c>
    </row>
    <row r="11" spans="1:11" x14ac:dyDescent="0.3">
      <c r="A11" t="s">
        <v>350</v>
      </c>
      <c r="B11" s="417">
        <v>43654</v>
      </c>
      <c r="C11" t="s">
        <v>6</v>
      </c>
      <c r="D11" t="s">
        <v>340</v>
      </c>
      <c r="E11" t="s">
        <v>23</v>
      </c>
      <c r="F11" t="s">
        <v>41</v>
      </c>
      <c r="G11" t="s">
        <v>32</v>
      </c>
      <c r="H11" s="417">
        <v>43738</v>
      </c>
      <c r="J11" s="417">
        <f t="shared" si="0"/>
        <v>43654</v>
      </c>
      <c r="K11">
        <f t="shared" si="1"/>
        <v>28</v>
      </c>
    </row>
    <row r="12" spans="1:11" x14ac:dyDescent="0.3">
      <c r="A12" t="s">
        <v>351</v>
      </c>
      <c r="B12" s="417">
        <v>43696</v>
      </c>
      <c r="C12" t="s">
        <v>6</v>
      </c>
      <c r="D12" t="s">
        <v>335</v>
      </c>
      <c r="E12" t="s">
        <v>7</v>
      </c>
      <c r="F12" t="s">
        <v>44</v>
      </c>
      <c r="J12" s="417">
        <f t="shared" si="0"/>
        <v>43696</v>
      </c>
      <c r="K12">
        <f t="shared" si="1"/>
        <v>34</v>
      </c>
    </row>
    <row r="13" spans="1:11" x14ac:dyDescent="0.3">
      <c r="A13" t="s">
        <v>352</v>
      </c>
      <c r="B13" s="417">
        <v>43696</v>
      </c>
      <c r="C13" t="s">
        <v>6</v>
      </c>
      <c r="D13" t="s">
        <v>335</v>
      </c>
      <c r="E13" t="s">
        <v>7</v>
      </c>
      <c r="F13" t="s">
        <v>45</v>
      </c>
      <c r="J13" s="417">
        <f t="shared" si="0"/>
        <v>43696</v>
      </c>
      <c r="K13">
        <f t="shared" si="1"/>
        <v>34</v>
      </c>
    </row>
    <row r="14" spans="1:11" x14ac:dyDescent="0.3">
      <c r="A14" t="s">
        <v>353</v>
      </c>
      <c r="B14" s="417">
        <v>43696</v>
      </c>
      <c r="C14" t="s">
        <v>6</v>
      </c>
      <c r="D14" t="s">
        <v>335</v>
      </c>
      <c r="E14" t="s">
        <v>7</v>
      </c>
      <c r="F14" t="s">
        <v>46</v>
      </c>
      <c r="J14" s="417">
        <f t="shared" si="0"/>
        <v>43696</v>
      </c>
      <c r="K14">
        <f t="shared" si="1"/>
        <v>34</v>
      </c>
    </row>
    <row r="15" spans="1:11" x14ac:dyDescent="0.3">
      <c r="A15" t="s">
        <v>354</v>
      </c>
      <c r="B15" s="417">
        <v>43696</v>
      </c>
      <c r="C15" t="s">
        <v>6</v>
      </c>
      <c r="D15" t="s">
        <v>335</v>
      </c>
      <c r="E15" t="s">
        <v>7</v>
      </c>
      <c r="F15" t="s">
        <v>47</v>
      </c>
      <c r="J15" s="417">
        <f t="shared" si="0"/>
        <v>43696</v>
      </c>
      <c r="K15">
        <f t="shared" si="1"/>
        <v>34</v>
      </c>
    </row>
    <row r="16" spans="1:11" x14ac:dyDescent="0.3">
      <c r="A16" t="s">
        <v>355</v>
      </c>
      <c r="B16" s="417">
        <v>43696</v>
      </c>
      <c r="C16" t="s">
        <v>6</v>
      </c>
      <c r="D16" t="s">
        <v>335</v>
      </c>
      <c r="E16" t="s">
        <v>11</v>
      </c>
      <c r="F16" t="s">
        <v>48</v>
      </c>
      <c r="J16" s="417">
        <f t="shared" si="0"/>
        <v>43696</v>
      </c>
      <c r="K16">
        <f t="shared" si="1"/>
        <v>34</v>
      </c>
    </row>
    <row r="17" spans="1:11" x14ac:dyDescent="0.3">
      <c r="A17" t="s">
        <v>356</v>
      </c>
      <c r="B17" s="417">
        <v>43696</v>
      </c>
      <c r="C17" t="s">
        <v>6</v>
      </c>
      <c r="D17" t="s">
        <v>335</v>
      </c>
      <c r="E17" t="s">
        <v>11</v>
      </c>
      <c r="F17" t="s">
        <v>49</v>
      </c>
      <c r="J17" s="417">
        <f t="shared" si="0"/>
        <v>43696</v>
      </c>
      <c r="K17">
        <f t="shared" si="1"/>
        <v>34</v>
      </c>
    </row>
    <row r="18" spans="1:11" x14ac:dyDescent="0.3">
      <c r="A18" t="s">
        <v>357</v>
      </c>
      <c r="B18" s="417">
        <v>43696</v>
      </c>
      <c r="C18" t="s">
        <v>6</v>
      </c>
      <c r="D18" t="s">
        <v>335</v>
      </c>
      <c r="E18" t="s">
        <v>11</v>
      </c>
      <c r="F18" t="s">
        <v>50</v>
      </c>
      <c r="J18" s="417">
        <f t="shared" si="0"/>
        <v>43696</v>
      </c>
      <c r="K18">
        <f t="shared" si="1"/>
        <v>34</v>
      </c>
    </row>
    <row r="19" spans="1:11" x14ac:dyDescent="0.3">
      <c r="A19" t="s">
        <v>358</v>
      </c>
      <c r="B19" s="417">
        <v>43696</v>
      </c>
      <c r="C19" t="s">
        <v>6</v>
      </c>
      <c r="D19" t="s">
        <v>335</v>
      </c>
      <c r="E19" t="s">
        <v>11</v>
      </c>
      <c r="F19" t="s">
        <v>51</v>
      </c>
      <c r="J19" s="417">
        <f t="shared" si="0"/>
        <v>43696</v>
      </c>
      <c r="K19">
        <f t="shared" si="1"/>
        <v>34</v>
      </c>
    </row>
    <row r="20" spans="1:11" x14ac:dyDescent="0.3">
      <c r="A20" t="s">
        <v>359</v>
      </c>
      <c r="B20" s="417">
        <v>43696</v>
      </c>
      <c r="C20" t="s">
        <v>6</v>
      </c>
      <c r="D20" t="s">
        <v>335</v>
      </c>
      <c r="E20" t="s">
        <v>11</v>
      </c>
      <c r="F20" t="s">
        <v>52</v>
      </c>
      <c r="J20" s="417">
        <f t="shared" si="0"/>
        <v>43696</v>
      </c>
      <c r="K20">
        <f t="shared" si="1"/>
        <v>34</v>
      </c>
    </row>
    <row r="21" spans="1:11" x14ac:dyDescent="0.3">
      <c r="A21" t="s">
        <v>360</v>
      </c>
      <c r="B21" s="417">
        <v>43696</v>
      </c>
      <c r="C21" t="s">
        <v>6</v>
      </c>
      <c r="D21" t="s">
        <v>335</v>
      </c>
      <c r="E21" t="s">
        <v>23</v>
      </c>
      <c r="F21" t="s">
        <v>53</v>
      </c>
      <c r="J21" s="417">
        <f t="shared" si="0"/>
        <v>43696</v>
      </c>
      <c r="K21">
        <f t="shared" si="1"/>
        <v>34</v>
      </c>
    </row>
    <row r="22" spans="1:11" x14ac:dyDescent="0.3">
      <c r="A22" t="s">
        <v>361</v>
      </c>
      <c r="B22" s="417">
        <v>43696</v>
      </c>
      <c r="C22" t="s">
        <v>6</v>
      </c>
      <c r="D22" t="s">
        <v>335</v>
      </c>
      <c r="E22" t="s">
        <v>23</v>
      </c>
      <c r="F22" t="s">
        <v>54</v>
      </c>
      <c r="J22" s="417">
        <f t="shared" si="0"/>
        <v>43696</v>
      </c>
      <c r="K22">
        <f t="shared" si="1"/>
        <v>34</v>
      </c>
    </row>
    <row r="23" spans="1:11" x14ac:dyDescent="0.3">
      <c r="A23" t="s">
        <v>362</v>
      </c>
      <c r="B23" s="417">
        <v>43696</v>
      </c>
      <c r="C23" t="s">
        <v>6</v>
      </c>
      <c r="D23" t="s">
        <v>335</v>
      </c>
      <c r="E23" t="s">
        <v>23</v>
      </c>
      <c r="F23" t="s">
        <v>57</v>
      </c>
      <c r="J23" s="417">
        <f t="shared" si="0"/>
        <v>43696</v>
      </c>
      <c r="K23">
        <f t="shared" si="1"/>
        <v>34</v>
      </c>
    </row>
    <row r="24" spans="1:11" ht="14.4" customHeight="1" x14ac:dyDescent="0.3">
      <c r="A24" t="s">
        <v>363</v>
      </c>
      <c r="B24" s="417">
        <v>43689</v>
      </c>
      <c r="C24" t="s">
        <v>6</v>
      </c>
      <c r="D24" t="s">
        <v>335</v>
      </c>
      <c r="E24" t="s">
        <v>7</v>
      </c>
      <c r="F24" t="s">
        <v>58</v>
      </c>
      <c r="G24" t="s">
        <v>59</v>
      </c>
      <c r="I24" t="s">
        <v>60</v>
      </c>
      <c r="J24" s="417">
        <f t="shared" si="0"/>
        <v>43689</v>
      </c>
      <c r="K24">
        <f t="shared" si="1"/>
        <v>33</v>
      </c>
    </row>
    <row r="25" spans="1:11" x14ac:dyDescent="0.3">
      <c r="A25" t="s">
        <v>364</v>
      </c>
      <c r="B25" s="417">
        <v>43689</v>
      </c>
      <c r="C25" t="s">
        <v>6</v>
      </c>
      <c r="D25" t="s">
        <v>335</v>
      </c>
      <c r="E25" t="s">
        <v>7</v>
      </c>
      <c r="F25" t="s">
        <v>61</v>
      </c>
      <c r="G25" t="s">
        <v>336</v>
      </c>
      <c r="J25" s="417">
        <f t="shared" si="0"/>
        <v>43689</v>
      </c>
      <c r="K25">
        <f t="shared" si="1"/>
        <v>33</v>
      </c>
    </row>
    <row r="26" spans="1:11" x14ac:dyDescent="0.3">
      <c r="A26" t="s">
        <v>365</v>
      </c>
      <c r="B26" s="417">
        <v>43689</v>
      </c>
      <c r="C26" t="s">
        <v>6</v>
      </c>
      <c r="D26" t="s">
        <v>335</v>
      </c>
      <c r="E26" t="s">
        <v>7</v>
      </c>
      <c r="F26" t="s">
        <v>63</v>
      </c>
      <c r="G26" t="s">
        <v>336</v>
      </c>
      <c r="J26" s="417">
        <f t="shared" si="0"/>
        <v>43689</v>
      </c>
      <c r="K26">
        <f t="shared" si="1"/>
        <v>33</v>
      </c>
    </row>
    <row r="27" spans="1:11" x14ac:dyDescent="0.3">
      <c r="A27" t="s">
        <v>366</v>
      </c>
      <c r="B27" s="417">
        <v>43689</v>
      </c>
      <c r="C27" t="s">
        <v>6</v>
      </c>
      <c r="D27" t="s">
        <v>335</v>
      </c>
      <c r="E27" t="s">
        <v>11</v>
      </c>
      <c r="F27" t="s">
        <v>64</v>
      </c>
      <c r="G27" t="s">
        <v>59</v>
      </c>
      <c r="J27" s="417">
        <f t="shared" si="0"/>
        <v>43689</v>
      </c>
      <c r="K27">
        <f t="shared" si="1"/>
        <v>33</v>
      </c>
    </row>
    <row r="28" spans="1:11" x14ac:dyDescent="0.3">
      <c r="A28" t="s">
        <v>367</v>
      </c>
      <c r="B28" s="417">
        <v>43689</v>
      </c>
      <c r="C28" t="s">
        <v>6</v>
      </c>
      <c r="D28" t="s">
        <v>335</v>
      </c>
      <c r="E28" t="s">
        <v>11</v>
      </c>
      <c r="F28" t="s">
        <v>65</v>
      </c>
      <c r="G28" t="s">
        <v>59</v>
      </c>
      <c r="J28" s="417">
        <f t="shared" si="0"/>
        <v>43689</v>
      </c>
      <c r="K28">
        <f t="shared" si="1"/>
        <v>33</v>
      </c>
    </row>
    <row r="29" spans="1:11" x14ac:dyDescent="0.3">
      <c r="A29" t="s">
        <v>368</v>
      </c>
      <c r="B29" s="417">
        <v>43689</v>
      </c>
      <c r="C29" t="s">
        <v>6</v>
      </c>
      <c r="D29" t="s">
        <v>335</v>
      </c>
      <c r="E29" t="s">
        <v>11</v>
      </c>
      <c r="F29" t="s">
        <v>66</v>
      </c>
      <c r="G29" t="s">
        <v>59</v>
      </c>
      <c r="J29" s="417">
        <f t="shared" si="0"/>
        <v>43689</v>
      </c>
      <c r="K29">
        <f t="shared" si="1"/>
        <v>33</v>
      </c>
    </row>
    <row r="30" spans="1:11" x14ac:dyDescent="0.3">
      <c r="A30" t="s">
        <v>369</v>
      </c>
      <c r="B30" s="417">
        <v>43689</v>
      </c>
      <c r="C30" t="s">
        <v>6</v>
      </c>
      <c r="D30" t="s">
        <v>335</v>
      </c>
      <c r="E30" t="s">
        <v>11</v>
      </c>
      <c r="F30" t="s">
        <v>67</v>
      </c>
      <c r="G30" t="s">
        <v>59</v>
      </c>
      <c r="J30" s="417">
        <f t="shared" si="0"/>
        <v>43689</v>
      </c>
      <c r="K30">
        <f t="shared" si="1"/>
        <v>33</v>
      </c>
    </row>
    <row r="31" spans="1:11" x14ac:dyDescent="0.3">
      <c r="A31" t="s">
        <v>370</v>
      </c>
      <c r="B31" s="417">
        <v>43689</v>
      </c>
      <c r="C31" t="s">
        <v>6</v>
      </c>
      <c r="D31" t="s">
        <v>335</v>
      </c>
      <c r="E31" t="s">
        <v>11</v>
      </c>
      <c r="F31" t="s">
        <v>68</v>
      </c>
      <c r="G31" t="s">
        <v>59</v>
      </c>
      <c r="J31" s="417">
        <f t="shared" si="0"/>
        <v>43689</v>
      </c>
      <c r="K31">
        <f t="shared" si="1"/>
        <v>33</v>
      </c>
    </row>
    <row r="32" spans="1:11" x14ac:dyDescent="0.3">
      <c r="A32" t="s">
        <v>371</v>
      </c>
      <c r="B32" s="417">
        <v>43689</v>
      </c>
      <c r="C32" t="s">
        <v>6</v>
      </c>
      <c r="D32" t="s">
        <v>335</v>
      </c>
      <c r="E32" t="s">
        <v>11</v>
      </c>
      <c r="F32" t="s">
        <v>69</v>
      </c>
      <c r="G32" t="s">
        <v>59</v>
      </c>
      <c r="J32" s="417">
        <f t="shared" si="0"/>
        <v>43689</v>
      </c>
      <c r="K32">
        <f t="shared" si="1"/>
        <v>33</v>
      </c>
    </row>
    <row r="33" spans="1:11" x14ac:dyDescent="0.3">
      <c r="A33" t="s">
        <v>372</v>
      </c>
      <c r="B33" s="417">
        <v>43689</v>
      </c>
      <c r="C33" t="s">
        <v>6</v>
      </c>
      <c r="D33" t="s">
        <v>335</v>
      </c>
      <c r="E33" t="s">
        <v>11</v>
      </c>
      <c r="F33" t="s">
        <v>70</v>
      </c>
      <c r="G33" t="s">
        <v>336</v>
      </c>
      <c r="J33" s="417">
        <f t="shared" si="0"/>
        <v>43689</v>
      </c>
      <c r="K33">
        <f t="shared" si="1"/>
        <v>33</v>
      </c>
    </row>
    <row r="34" spans="1:11" x14ac:dyDescent="0.3">
      <c r="A34" t="s">
        <v>373</v>
      </c>
      <c r="B34" s="417">
        <v>43689</v>
      </c>
      <c r="C34" t="s">
        <v>6</v>
      </c>
      <c r="D34" t="s">
        <v>335</v>
      </c>
      <c r="E34" t="s">
        <v>11</v>
      </c>
      <c r="F34" t="s">
        <v>71</v>
      </c>
      <c r="G34" t="s">
        <v>336</v>
      </c>
      <c r="J34" s="417">
        <f t="shared" ref="J34:J52" si="2">B34+(1-WEEKDAY(B34,2))</f>
        <v>43689</v>
      </c>
      <c r="K34">
        <f t="shared" ref="K34:K52" si="3">WEEKNUM(B34+2)</f>
        <v>33</v>
      </c>
    </row>
    <row r="35" spans="1:11" x14ac:dyDescent="0.3">
      <c r="A35" t="s">
        <v>374</v>
      </c>
      <c r="B35" s="417">
        <v>43689</v>
      </c>
      <c r="C35" t="s">
        <v>6</v>
      </c>
      <c r="D35" t="s">
        <v>335</v>
      </c>
      <c r="E35" t="s">
        <v>11</v>
      </c>
      <c r="F35" t="s">
        <v>72</v>
      </c>
      <c r="G35" t="s">
        <v>336</v>
      </c>
      <c r="J35" s="417">
        <f t="shared" si="2"/>
        <v>43689</v>
      </c>
      <c r="K35">
        <f t="shared" si="3"/>
        <v>33</v>
      </c>
    </row>
    <row r="36" spans="1:11" x14ac:dyDescent="0.3">
      <c r="A36" t="s">
        <v>375</v>
      </c>
      <c r="B36" s="417">
        <v>43689</v>
      </c>
      <c r="C36" t="s">
        <v>6</v>
      </c>
      <c r="D36" t="s">
        <v>335</v>
      </c>
      <c r="E36" t="s">
        <v>15</v>
      </c>
      <c r="F36" t="s">
        <v>73</v>
      </c>
      <c r="J36" s="417">
        <f t="shared" si="2"/>
        <v>43689</v>
      </c>
      <c r="K36">
        <f t="shared" si="3"/>
        <v>33</v>
      </c>
    </row>
    <row r="37" spans="1:11" x14ac:dyDescent="0.3">
      <c r="A37" t="s">
        <v>376</v>
      </c>
      <c r="B37" s="417">
        <v>43689</v>
      </c>
      <c r="C37" t="s">
        <v>6</v>
      </c>
      <c r="D37" t="s">
        <v>335</v>
      </c>
      <c r="E37" t="s">
        <v>15</v>
      </c>
      <c r="F37" t="s">
        <v>74</v>
      </c>
      <c r="J37" s="417">
        <f t="shared" si="2"/>
        <v>43689</v>
      </c>
      <c r="K37">
        <f t="shared" si="3"/>
        <v>33</v>
      </c>
    </row>
    <row r="38" spans="1:11" x14ac:dyDescent="0.3">
      <c r="A38" t="s">
        <v>377</v>
      </c>
      <c r="B38" s="417">
        <v>43689</v>
      </c>
      <c r="C38" t="s">
        <v>6</v>
      </c>
      <c r="D38" t="s">
        <v>335</v>
      </c>
      <c r="E38" t="s">
        <v>15</v>
      </c>
      <c r="F38" t="s">
        <v>75</v>
      </c>
      <c r="J38" s="417">
        <f t="shared" si="2"/>
        <v>43689</v>
      </c>
      <c r="K38">
        <f t="shared" si="3"/>
        <v>33</v>
      </c>
    </row>
    <row r="39" spans="1:11" x14ac:dyDescent="0.3">
      <c r="A39" t="s">
        <v>378</v>
      </c>
      <c r="B39" s="417">
        <v>43689</v>
      </c>
      <c r="C39" t="s">
        <v>6</v>
      </c>
      <c r="D39" t="s">
        <v>335</v>
      </c>
      <c r="E39" t="s">
        <v>15</v>
      </c>
      <c r="F39" t="s">
        <v>76</v>
      </c>
      <c r="J39" s="417">
        <f t="shared" si="2"/>
        <v>43689</v>
      </c>
      <c r="K39">
        <f t="shared" si="3"/>
        <v>33</v>
      </c>
    </row>
    <row r="40" spans="1:11" x14ac:dyDescent="0.3">
      <c r="A40" t="s">
        <v>379</v>
      </c>
      <c r="B40" s="417">
        <v>43689</v>
      </c>
      <c r="C40" t="s">
        <v>6</v>
      </c>
      <c r="D40" t="s">
        <v>335</v>
      </c>
      <c r="E40" t="s">
        <v>19</v>
      </c>
      <c r="F40" t="s">
        <v>77</v>
      </c>
      <c r="J40" s="417">
        <f t="shared" si="2"/>
        <v>43689</v>
      </c>
      <c r="K40">
        <f t="shared" si="3"/>
        <v>33</v>
      </c>
    </row>
    <row r="41" spans="1:11" x14ac:dyDescent="0.3">
      <c r="A41" t="s">
        <v>380</v>
      </c>
      <c r="B41" s="417">
        <v>43689</v>
      </c>
      <c r="C41" t="s">
        <v>6</v>
      </c>
      <c r="D41" t="s">
        <v>335</v>
      </c>
      <c r="E41" t="s">
        <v>19</v>
      </c>
      <c r="F41" t="s">
        <v>78</v>
      </c>
      <c r="J41" s="417">
        <f t="shared" si="2"/>
        <v>43689</v>
      </c>
      <c r="K41">
        <f t="shared" si="3"/>
        <v>33</v>
      </c>
    </row>
    <row r="42" spans="1:11" x14ac:dyDescent="0.3">
      <c r="A42" t="s">
        <v>381</v>
      </c>
      <c r="B42" s="417">
        <v>43689</v>
      </c>
      <c r="C42" t="s">
        <v>6</v>
      </c>
      <c r="D42" t="s">
        <v>335</v>
      </c>
      <c r="E42" t="s">
        <v>19</v>
      </c>
      <c r="F42" t="s">
        <v>79</v>
      </c>
      <c r="J42" s="417">
        <f t="shared" si="2"/>
        <v>43689</v>
      </c>
      <c r="K42">
        <f t="shared" si="3"/>
        <v>33</v>
      </c>
    </row>
    <row r="43" spans="1:11" x14ac:dyDescent="0.3">
      <c r="A43" t="s">
        <v>382</v>
      </c>
      <c r="B43" s="417">
        <v>43689</v>
      </c>
      <c r="C43" t="s">
        <v>6</v>
      </c>
      <c r="D43" t="s">
        <v>335</v>
      </c>
      <c r="E43" t="s">
        <v>19</v>
      </c>
      <c r="F43" t="s">
        <v>80</v>
      </c>
      <c r="J43" s="417">
        <f t="shared" si="2"/>
        <v>43689</v>
      </c>
      <c r="K43">
        <f t="shared" si="3"/>
        <v>33</v>
      </c>
    </row>
    <row r="44" spans="1:11" x14ac:dyDescent="0.3">
      <c r="A44" t="s">
        <v>383</v>
      </c>
      <c r="B44" s="417">
        <v>43689</v>
      </c>
      <c r="C44" t="s">
        <v>6</v>
      </c>
      <c r="D44" t="s">
        <v>335</v>
      </c>
      <c r="E44" t="s">
        <v>19</v>
      </c>
      <c r="F44" t="s">
        <v>81</v>
      </c>
      <c r="J44" s="417">
        <f t="shared" si="2"/>
        <v>43689</v>
      </c>
      <c r="K44">
        <f t="shared" si="3"/>
        <v>33</v>
      </c>
    </row>
    <row r="45" spans="1:11" x14ac:dyDescent="0.3">
      <c r="A45" t="s">
        <v>384</v>
      </c>
      <c r="B45" s="417">
        <v>43689</v>
      </c>
      <c r="C45" t="s">
        <v>6</v>
      </c>
      <c r="D45" t="s">
        <v>335</v>
      </c>
      <c r="E45" t="s">
        <v>19</v>
      </c>
      <c r="F45" t="s">
        <v>82</v>
      </c>
      <c r="J45" s="417">
        <f t="shared" si="2"/>
        <v>43689</v>
      </c>
      <c r="K45">
        <f t="shared" si="3"/>
        <v>33</v>
      </c>
    </row>
    <row r="46" spans="1:11" x14ac:dyDescent="0.3">
      <c r="A46" t="s">
        <v>385</v>
      </c>
      <c r="B46" s="417">
        <v>43689</v>
      </c>
      <c r="C46" t="s">
        <v>6</v>
      </c>
      <c r="D46" t="s">
        <v>335</v>
      </c>
      <c r="E46" t="s">
        <v>19</v>
      </c>
      <c r="F46" t="s">
        <v>83</v>
      </c>
      <c r="J46" s="417">
        <f t="shared" si="2"/>
        <v>43689</v>
      </c>
      <c r="K46">
        <f t="shared" si="3"/>
        <v>33</v>
      </c>
    </row>
    <row r="47" spans="1:11" x14ac:dyDescent="0.3">
      <c r="A47" t="s">
        <v>386</v>
      </c>
      <c r="B47" s="417">
        <v>43689</v>
      </c>
      <c r="C47" t="s">
        <v>6</v>
      </c>
      <c r="D47" t="s">
        <v>335</v>
      </c>
      <c r="E47" t="s">
        <v>19</v>
      </c>
      <c r="F47" t="s">
        <v>84</v>
      </c>
      <c r="J47" s="417">
        <f t="shared" si="2"/>
        <v>43689</v>
      </c>
      <c r="K47">
        <f t="shared" si="3"/>
        <v>33</v>
      </c>
    </row>
    <row r="48" spans="1:11" x14ac:dyDescent="0.3">
      <c r="A48" t="s">
        <v>387</v>
      </c>
      <c r="B48" s="417">
        <v>43689</v>
      </c>
      <c r="C48" t="s">
        <v>6</v>
      </c>
      <c r="D48" t="s">
        <v>335</v>
      </c>
      <c r="E48" t="s">
        <v>19</v>
      </c>
      <c r="F48" t="s">
        <v>85</v>
      </c>
      <c r="J48" s="417">
        <f t="shared" si="2"/>
        <v>43689</v>
      </c>
      <c r="K48">
        <f t="shared" si="3"/>
        <v>33</v>
      </c>
    </row>
    <row r="49" spans="1:13" x14ac:dyDescent="0.3">
      <c r="A49" t="s">
        <v>388</v>
      </c>
      <c r="B49" s="417">
        <v>43689</v>
      </c>
      <c r="C49" t="s">
        <v>6</v>
      </c>
      <c r="D49" t="s">
        <v>335</v>
      </c>
      <c r="E49" t="s">
        <v>23</v>
      </c>
      <c r="F49" t="s">
        <v>86</v>
      </c>
      <c r="G49" t="s">
        <v>59</v>
      </c>
      <c r="J49" s="417">
        <f t="shared" si="2"/>
        <v>43689</v>
      </c>
      <c r="K49">
        <f t="shared" si="3"/>
        <v>33</v>
      </c>
    </row>
    <row r="50" spans="1:13" x14ac:dyDescent="0.3">
      <c r="A50" t="s">
        <v>389</v>
      </c>
      <c r="B50" s="417">
        <v>43689</v>
      </c>
      <c r="C50" t="s">
        <v>6</v>
      </c>
      <c r="D50" t="s">
        <v>335</v>
      </c>
      <c r="E50" t="s">
        <v>23</v>
      </c>
      <c r="F50" t="s">
        <v>87</v>
      </c>
      <c r="G50" t="s">
        <v>59</v>
      </c>
      <c r="J50" s="417">
        <f t="shared" si="2"/>
        <v>43689</v>
      </c>
      <c r="K50">
        <f t="shared" si="3"/>
        <v>33</v>
      </c>
    </row>
    <row r="51" spans="1:13" x14ac:dyDescent="0.3">
      <c r="A51" t="s">
        <v>390</v>
      </c>
      <c r="B51" s="417">
        <v>43689</v>
      </c>
      <c r="C51" t="s">
        <v>6</v>
      </c>
      <c r="D51" t="s">
        <v>335</v>
      </c>
      <c r="E51" t="s">
        <v>23</v>
      </c>
      <c r="F51" t="s">
        <v>90</v>
      </c>
      <c r="G51" t="s">
        <v>59</v>
      </c>
      <c r="J51" s="417">
        <f t="shared" si="2"/>
        <v>43689</v>
      </c>
      <c r="K51">
        <f t="shared" si="3"/>
        <v>33</v>
      </c>
    </row>
    <row r="52" spans="1:13" ht="14.4" customHeight="1" x14ac:dyDescent="0.3">
      <c r="A52" t="s">
        <v>391</v>
      </c>
      <c r="B52" s="417">
        <v>43654</v>
      </c>
      <c r="C52" t="s">
        <v>337</v>
      </c>
      <c r="D52" t="s">
        <v>340</v>
      </c>
      <c r="E52" t="s">
        <v>93</v>
      </c>
      <c r="F52" t="s">
        <v>96</v>
      </c>
      <c r="G52" t="s">
        <v>59</v>
      </c>
      <c r="H52" s="417">
        <v>43693</v>
      </c>
      <c r="I52" t="s">
        <v>97</v>
      </c>
      <c r="J52" s="417">
        <f t="shared" si="2"/>
        <v>43654</v>
      </c>
      <c r="K52">
        <f t="shared" si="3"/>
        <v>28</v>
      </c>
    </row>
    <row r="53" spans="1:13" ht="14.4" customHeight="1" x14ac:dyDescent="0.3">
      <c r="A53" t="s">
        <v>392</v>
      </c>
      <c r="B53" s="417">
        <v>43654</v>
      </c>
      <c r="C53" t="s">
        <v>337</v>
      </c>
      <c r="D53" t="s">
        <v>340</v>
      </c>
      <c r="E53" t="s">
        <v>93</v>
      </c>
      <c r="F53" t="s">
        <v>98</v>
      </c>
      <c r="G53" t="s">
        <v>32</v>
      </c>
      <c r="H53" s="417">
        <v>43707</v>
      </c>
      <c r="J53" s="417">
        <f t="shared" ref="J53:J56" si="4">B53+(1-WEEKDAY(B53,2))</f>
        <v>43654</v>
      </c>
      <c r="K53">
        <f t="shared" ref="K53:K56" si="5">WEEKNUM(B53+2)</f>
        <v>28</v>
      </c>
    </row>
    <row r="54" spans="1:13" ht="15" customHeight="1" x14ac:dyDescent="0.3">
      <c r="A54" t="s">
        <v>393</v>
      </c>
      <c r="B54" s="417">
        <v>43654</v>
      </c>
      <c r="C54" t="s">
        <v>337</v>
      </c>
      <c r="D54" t="s">
        <v>340</v>
      </c>
      <c r="E54" t="s">
        <v>93</v>
      </c>
      <c r="F54" t="s">
        <v>99</v>
      </c>
      <c r="G54" s="426" t="s">
        <v>32</v>
      </c>
      <c r="H54" s="427">
        <v>43735</v>
      </c>
      <c r="I54" s="426"/>
      <c r="J54" s="427">
        <f t="shared" si="4"/>
        <v>43654</v>
      </c>
      <c r="K54" s="426">
        <f t="shared" si="5"/>
        <v>28</v>
      </c>
      <c r="L54" s="426"/>
      <c r="M54" s="426"/>
    </row>
    <row r="55" spans="1:13" x14ac:dyDescent="0.3">
      <c r="A55" t="s">
        <v>394</v>
      </c>
      <c r="B55" s="417">
        <v>43696</v>
      </c>
      <c r="C55" t="s">
        <v>338</v>
      </c>
      <c r="D55" t="s">
        <v>335</v>
      </c>
      <c r="E55" t="s">
        <v>23</v>
      </c>
      <c r="F55" t="s">
        <v>55</v>
      </c>
      <c r="G55" s="426"/>
      <c r="H55" s="427"/>
      <c r="I55" s="426"/>
      <c r="J55" s="427">
        <f t="shared" si="4"/>
        <v>43696</v>
      </c>
      <c r="K55" s="426">
        <f t="shared" si="5"/>
        <v>34</v>
      </c>
      <c r="L55" s="426"/>
      <c r="M55" s="426"/>
    </row>
    <row r="56" spans="1:13" x14ac:dyDescent="0.3">
      <c r="A56" t="s">
        <v>395</v>
      </c>
      <c r="B56" s="417">
        <v>43689</v>
      </c>
      <c r="C56" t="s">
        <v>338</v>
      </c>
      <c r="D56" t="s">
        <v>335</v>
      </c>
      <c r="E56" t="s">
        <v>23</v>
      </c>
      <c r="F56" t="s">
        <v>88</v>
      </c>
      <c r="G56" s="426" t="s">
        <v>59</v>
      </c>
      <c r="H56" s="427"/>
      <c r="I56" s="426"/>
      <c r="J56" s="427">
        <f t="shared" si="4"/>
        <v>43689</v>
      </c>
      <c r="K56" s="426">
        <f t="shared" si="5"/>
        <v>33</v>
      </c>
      <c r="L56" s="426"/>
      <c r="M56" s="426"/>
    </row>
    <row r="57" spans="1:13" x14ac:dyDescent="0.3">
      <c r="A57" t="s">
        <v>396</v>
      </c>
      <c r="B57" s="417">
        <v>43654</v>
      </c>
      <c r="C57" t="s">
        <v>317</v>
      </c>
      <c r="D57" t="s">
        <v>340</v>
      </c>
      <c r="E57" t="s">
        <v>100</v>
      </c>
      <c r="F57" t="s">
        <v>104</v>
      </c>
      <c r="G57" s="426" t="s">
        <v>32</v>
      </c>
      <c r="H57" s="428">
        <v>43707</v>
      </c>
      <c r="I57" s="426"/>
      <c r="J57" s="427"/>
      <c r="K57" s="426"/>
      <c r="L57" s="426"/>
      <c r="M57" s="426"/>
    </row>
    <row r="58" spans="1:13" x14ac:dyDescent="0.3">
      <c r="A58" t="s">
        <v>397</v>
      </c>
      <c r="B58" s="417">
        <v>43654</v>
      </c>
      <c r="C58" t="s">
        <v>317</v>
      </c>
      <c r="D58" t="s">
        <v>340</v>
      </c>
      <c r="E58" t="s">
        <v>100</v>
      </c>
      <c r="F58" t="s">
        <v>105</v>
      </c>
      <c r="G58" s="426" t="s">
        <v>32</v>
      </c>
      <c r="H58" s="428">
        <v>43727</v>
      </c>
      <c r="I58" s="426" t="s">
        <v>106</v>
      </c>
      <c r="J58" s="427"/>
      <c r="K58" s="426"/>
      <c r="L58" s="426"/>
      <c r="M58" s="426"/>
    </row>
    <row r="59" spans="1:13" x14ac:dyDescent="0.3">
      <c r="A59" t="s">
        <v>398</v>
      </c>
      <c r="B59" s="417">
        <v>43654</v>
      </c>
      <c r="C59" t="s">
        <v>317</v>
      </c>
      <c r="D59" t="s">
        <v>340</v>
      </c>
      <c r="E59" t="s">
        <v>100</v>
      </c>
      <c r="F59" t="s">
        <v>107</v>
      </c>
      <c r="G59" s="426" t="s">
        <v>32</v>
      </c>
      <c r="H59" s="428">
        <v>43707</v>
      </c>
      <c r="I59" s="426"/>
      <c r="J59" s="427"/>
      <c r="K59" s="426"/>
      <c r="L59" s="426"/>
      <c r="M59" s="426"/>
    </row>
    <row r="60" spans="1:13" x14ac:dyDescent="0.3">
      <c r="A60" t="s">
        <v>399</v>
      </c>
      <c r="B60" s="417">
        <v>43696</v>
      </c>
      <c r="C60" t="s">
        <v>317</v>
      </c>
      <c r="D60" t="s">
        <v>335</v>
      </c>
      <c r="E60" t="s">
        <v>100</v>
      </c>
      <c r="F60" t="s">
        <v>324</v>
      </c>
      <c r="G60" s="426"/>
      <c r="J60" s="427"/>
      <c r="K60" s="426"/>
      <c r="L60" s="426"/>
    </row>
    <row r="61" spans="1:13" x14ac:dyDescent="0.3">
      <c r="A61" t="s">
        <v>400</v>
      </c>
      <c r="B61" s="417">
        <v>43696</v>
      </c>
      <c r="C61" t="s">
        <v>317</v>
      </c>
      <c r="D61" t="s">
        <v>335</v>
      </c>
      <c r="E61" t="s">
        <v>100</v>
      </c>
      <c r="F61" t="s">
        <v>325</v>
      </c>
      <c r="G61" s="426"/>
      <c r="J61" s="427"/>
      <c r="K61" s="426"/>
      <c r="L61" s="426"/>
    </row>
    <row r="62" spans="1:13" x14ac:dyDescent="0.3">
      <c r="A62" t="s">
        <v>401</v>
      </c>
      <c r="B62" s="417">
        <v>43696</v>
      </c>
      <c r="C62" t="s">
        <v>317</v>
      </c>
      <c r="D62" t="s">
        <v>335</v>
      </c>
      <c r="E62" t="s">
        <v>100</v>
      </c>
      <c r="F62" t="s">
        <v>326</v>
      </c>
      <c r="G62" s="426"/>
      <c r="J62" s="427"/>
      <c r="K62" s="426"/>
      <c r="L62" s="426"/>
    </row>
    <row r="63" spans="1:13" x14ac:dyDescent="0.3">
      <c r="A63" t="s">
        <v>402</v>
      </c>
      <c r="B63" s="417">
        <v>43696</v>
      </c>
      <c r="C63" t="s">
        <v>317</v>
      </c>
      <c r="D63" t="s">
        <v>335</v>
      </c>
      <c r="E63" t="s">
        <v>23</v>
      </c>
      <c r="F63" t="s">
        <v>56</v>
      </c>
      <c r="G63" s="426"/>
      <c r="J63" s="426"/>
      <c r="K63" s="426"/>
      <c r="L63" s="426"/>
    </row>
    <row r="64" spans="1:13" x14ac:dyDescent="0.3">
      <c r="A64" t="s">
        <v>403</v>
      </c>
      <c r="B64" s="417">
        <v>43689</v>
      </c>
      <c r="C64" t="s">
        <v>317</v>
      </c>
      <c r="D64" t="s">
        <v>335</v>
      </c>
      <c r="E64" t="s">
        <v>100</v>
      </c>
      <c r="F64" t="s">
        <v>108</v>
      </c>
      <c r="G64" s="426" t="s">
        <v>59</v>
      </c>
      <c r="I64" t="s">
        <v>109</v>
      </c>
      <c r="J64" s="426"/>
      <c r="K64" s="426"/>
      <c r="L64" s="426"/>
    </row>
    <row r="65" spans="1:12" x14ac:dyDescent="0.3">
      <c r="A65" t="s">
        <v>404</v>
      </c>
      <c r="B65" s="417">
        <v>43689</v>
      </c>
      <c r="C65" t="s">
        <v>317</v>
      </c>
      <c r="D65" t="s">
        <v>335</v>
      </c>
      <c r="E65" t="s">
        <v>100</v>
      </c>
      <c r="F65" t="s">
        <v>110</v>
      </c>
      <c r="G65" s="426" t="s">
        <v>59</v>
      </c>
      <c r="I65" t="s">
        <v>327</v>
      </c>
      <c r="J65" s="426"/>
      <c r="K65" s="426"/>
      <c r="L65" s="426"/>
    </row>
    <row r="66" spans="1:12" x14ac:dyDescent="0.3">
      <c r="A66" t="s">
        <v>405</v>
      </c>
      <c r="B66" s="417">
        <v>43689</v>
      </c>
      <c r="C66" t="s">
        <v>317</v>
      </c>
      <c r="D66" t="s">
        <v>335</v>
      </c>
      <c r="E66" t="s">
        <v>100</v>
      </c>
      <c r="F66" t="s">
        <v>111</v>
      </c>
      <c r="G66" t="s">
        <v>59</v>
      </c>
      <c r="I66" t="s">
        <v>112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7FFAD251C51F342AA42B8A4668C0624" ma:contentTypeVersion="11" ma:contentTypeDescription="Создание документа." ma:contentTypeScope="" ma:versionID="f44f258c9dcfffd6042b3943c01c4fd3">
  <xsd:schema xmlns:xsd="http://www.w3.org/2001/XMLSchema" xmlns:xs="http://www.w3.org/2001/XMLSchema" xmlns:p="http://schemas.microsoft.com/office/2006/metadata/properties" xmlns:ns3="e85d8389-6e4f-4f05-8721-f3bd1b835547" xmlns:ns4="ea6815cc-8457-4a5a-b612-f02ee5d07ad6" targetNamespace="http://schemas.microsoft.com/office/2006/metadata/properties" ma:root="true" ma:fieldsID="659ddd1fc7491047d79b536a07c8b127" ns3:_="" ns4:_="">
    <xsd:import namespace="e85d8389-6e4f-4f05-8721-f3bd1b835547"/>
    <xsd:import namespace="ea6815cc-8457-4a5a-b612-f02ee5d07ad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EventHashCode" minOccurs="0"/>
                <xsd:element ref="ns4:MediaServiceGenerationTime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5d8389-6e4f-4f05-8721-f3bd1b83554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815cc-8457-4a5a-b612-f02ee5d07a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4095548-A7F3-4735-8CA6-D5364570AB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5d8389-6e4f-4f05-8721-f3bd1b835547"/>
    <ds:schemaRef ds:uri="ea6815cc-8457-4a5a-b612-f02ee5d07a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D0D223-6FC3-43C7-9E4B-FF51B9CE46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E27E1E-7A22-43F5-B219-598BE2DB718A}">
  <ds:schemaRefs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ea6815cc-8457-4a5a-b612-f02ee5d07ad6"/>
    <ds:schemaRef ds:uri="http://schemas.microsoft.com/office/infopath/2007/PartnerControls"/>
    <ds:schemaRef ds:uri="e85d8389-6e4f-4f05-8721-f3bd1b835547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Банк</vt:lpstr>
      <vt:lpstr>Гарантии</vt:lpstr>
      <vt:lpstr>Кредиты</vt:lpstr>
      <vt:lpstr>Кассы</vt:lpstr>
      <vt:lpstr>Продажи ИМ</vt:lpstr>
      <vt:lpstr>Продажи ТМ</vt:lpstr>
      <vt:lpstr>Забота</vt:lpstr>
      <vt:lpstr>Общебанк</vt:lpstr>
      <vt:lpstr>Системы</vt:lpstr>
      <vt:lpstr>|</vt:lpstr>
      <vt:lpstr>Метрики</vt:lpstr>
      <vt:lpstr>t_metrics</vt:lpstr>
      <vt:lpstr>t_task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Пользователь</dc:creator>
  <cp:keywords/>
  <dc:description/>
  <cp:lastModifiedBy>Пользователь</cp:lastModifiedBy>
  <cp:revision/>
  <dcterms:created xsi:type="dcterms:W3CDTF">2019-08-19T08:32:47Z</dcterms:created>
  <dcterms:modified xsi:type="dcterms:W3CDTF">2019-08-21T21:22:39Z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0x01010027FFAD251C51F342AA42B8A4668C0624</vt:lpwstr>
  </property>
</Properties>
</file>